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irank\Desktop\"/>
    </mc:Choice>
  </mc:AlternateContent>
  <xr:revisionPtr revIDLastSave="0" documentId="13_ncr:1_{C3FF1F58-B647-489E-8FF4-F45E5F0FDE68}" xr6:coauthVersionLast="47" xr6:coauthVersionMax="47" xr10:uidLastSave="{00000000-0000-0000-0000-000000000000}"/>
  <bookViews>
    <workbookView xWindow="-120" yWindow="-120" windowWidth="20730" windowHeight="11040" firstSheet="8" activeTab="12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Data Sheet" sheetId="6" r:id="rId6"/>
    <sheet name="Balance sheet row data" sheetId="12" r:id="rId7"/>
    <sheet name="Forcasting of Sales" sheetId="8" r:id="rId8"/>
    <sheet name="Cashflow Row data" sheetId="10" r:id="rId9"/>
    <sheet name="Historical Data" sheetId="7" r:id="rId10"/>
    <sheet name="WACC" sheetId="9" r:id="rId11"/>
    <sheet name="Intresic Growth" sheetId="11" r:id="rId12"/>
    <sheet name="Equity valuation" sheetId="13" r:id="rId13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0" i="13" l="1"/>
  <c r="D60" i="11"/>
  <c r="E60" i="11"/>
  <c r="F60" i="11"/>
  <c r="G60" i="11"/>
  <c r="H60" i="11"/>
  <c r="H62" i="11" s="1"/>
  <c r="E62" i="11"/>
  <c r="D39" i="13"/>
  <c r="D37" i="13"/>
  <c r="D36" i="13"/>
  <c r="D26" i="13"/>
  <c r="F12" i="13"/>
  <c r="G12" i="13" s="1"/>
  <c r="H10" i="13"/>
  <c r="G10" i="13"/>
  <c r="E10" i="13"/>
  <c r="D10" i="13"/>
  <c r="D70" i="11" a="1"/>
  <c r="D62" i="11"/>
  <c r="C19" i="13"/>
  <c r="D25" i="13" s="1"/>
  <c r="E9" i="13"/>
  <c r="D9" i="13"/>
  <c r="H7" i="13"/>
  <c r="H9" i="13" s="1"/>
  <c r="G7" i="13"/>
  <c r="G9" i="13" s="1"/>
  <c r="F7" i="13"/>
  <c r="F9" i="13" s="1"/>
  <c r="E7" i="13"/>
  <c r="D7" i="13"/>
  <c r="H5" i="13"/>
  <c r="G5" i="13"/>
  <c r="F5" i="13"/>
  <c r="E5" i="13"/>
  <c r="D5" i="13"/>
  <c r="H69" i="11"/>
  <c r="G69" i="11"/>
  <c r="F69" i="11"/>
  <c r="E69" i="11"/>
  <c r="D69" i="11"/>
  <c r="G62" i="11"/>
  <c r="F62" i="11"/>
  <c r="D57" i="11"/>
  <c r="H58" i="11"/>
  <c r="G58" i="11"/>
  <c r="F58" i="11"/>
  <c r="E58" i="11"/>
  <c r="H57" i="11"/>
  <c r="G57" i="11"/>
  <c r="F57" i="11"/>
  <c r="E57" i="11"/>
  <c r="H56" i="11"/>
  <c r="G56" i="11"/>
  <c r="F56" i="11"/>
  <c r="E56" i="11"/>
  <c r="D58" i="11"/>
  <c r="D56" i="11"/>
  <c r="B70" i="11"/>
  <c r="B69" i="11"/>
  <c r="H52" i="11"/>
  <c r="G52" i="11"/>
  <c r="F52" i="11"/>
  <c r="E52" i="11"/>
  <c r="H51" i="11"/>
  <c r="H53" i="11" s="1"/>
  <c r="G51" i="11"/>
  <c r="F51" i="11"/>
  <c r="E51" i="11"/>
  <c r="D52" i="11"/>
  <c r="D51" i="11"/>
  <c r="D53" i="11" s="1"/>
  <c r="H40" i="11"/>
  <c r="H42" i="11" s="1"/>
  <c r="G40" i="11"/>
  <c r="G42" i="11" s="1"/>
  <c r="F40" i="11"/>
  <c r="F42" i="11" s="1"/>
  <c r="E40" i="11"/>
  <c r="E42" i="11" s="1"/>
  <c r="D40" i="11"/>
  <c r="D42" i="11" s="1"/>
  <c r="H34" i="11"/>
  <c r="G34" i="11"/>
  <c r="F34" i="11"/>
  <c r="E34" i="11"/>
  <c r="D34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D32" i="11"/>
  <c r="D31" i="11"/>
  <c r="D30" i="11"/>
  <c r="D29" i="11"/>
  <c r="D28" i="11"/>
  <c r="D27" i="11"/>
  <c r="D26" i="11"/>
  <c r="D25" i="11"/>
  <c r="D24" i="11"/>
  <c r="H17" i="11"/>
  <c r="G17" i="11"/>
  <c r="F17" i="11"/>
  <c r="E17" i="11"/>
  <c r="H16" i="11"/>
  <c r="G16" i="11"/>
  <c r="F16" i="11"/>
  <c r="E16" i="11"/>
  <c r="D17" i="11"/>
  <c r="D16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D12" i="11"/>
  <c r="D11" i="11"/>
  <c r="D10" i="11"/>
  <c r="G40" i="12"/>
  <c r="F40" i="12"/>
  <c r="E40" i="12"/>
  <c r="D40" i="12"/>
  <c r="C40" i="12"/>
  <c r="G29" i="12"/>
  <c r="F29" i="12"/>
  <c r="E29" i="12"/>
  <c r="D29" i="12"/>
  <c r="C29" i="12"/>
  <c r="H6" i="11"/>
  <c r="G6" i="11"/>
  <c r="F6" i="11"/>
  <c r="E6" i="11"/>
  <c r="D6" i="11"/>
  <c r="B14" i="8"/>
  <c r="B52" i="7"/>
  <c r="B32" i="7"/>
  <c r="B5" i="7"/>
  <c r="F11" i="13" l="1"/>
  <c r="F14" i="13" s="1"/>
  <c r="D11" i="13"/>
  <c r="F70" i="11"/>
  <c r="F72" i="11" s="1"/>
  <c r="E11" i="13"/>
  <c r="G11" i="13"/>
  <c r="H11" i="13"/>
  <c r="D24" i="13" s="1"/>
  <c r="D27" i="13" s="1"/>
  <c r="D33" i="13" s="1"/>
  <c r="F13" i="13"/>
  <c r="H12" i="13"/>
  <c r="H13" i="13" s="1"/>
  <c r="G13" i="13"/>
  <c r="E13" i="13"/>
  <c r="D70" i="11"/>
  <c r="D72" i="11" s="1"/>
  <c r="H70" i="11"/>
  <c r="H72" i="11" s="1"/>
  <c r="G70" i="11"/>
  <c r="G72" i="11" s="1"/>
  <c r="E70" i="11"/>
  <c r="E72" i="11" s="1"/>
  <c r="D18" i="11"/>
  <c r="F13" i="11"/>
  <c r="D13" i="11"/>
  <c r="G53" i="11"/>
  <c r="H18" i="11"/>
  <c r="H13" i="11"/>
  <c r="E53" i="11"/>
  <c r="E13" i="11"/>
  <c r="E33" i="11"/>
  <c r="E36" i="11" s="1"/>
  <c r="F53" i="11"/>
  <c r="G13" i="11"/>
  <c r="F33" i="11"/>
  <c r="F36" i="11" s="1"/>
  <c r="E18" i="11"/>
  <c r="G33" i="11"/>
  <c r="G36" i="11" s="1"/>
  <c r="F18" i="11"/>
  <c r="D33" i="11"/>
  <c r="D36" i="11" s="1"/>
  <c r="H33" i="11"/>
  <c r="H36" i="11" s="1"/>
  <c r="G18" i="11"/>
  <c r="E14" i="13" l="1"/>
  <c r="H14" i="13"/>
  <c r="G14" i="13"/>
  <c r="D32" i="13" s="1"/>
  <c r="D34" i="13" s="1"/>
  <c r="D38" i="13" s="1"/>
  <c r="D41" i="13" s="1"/>
  <c r="D44" i="13" s="1"/>
  <c r="D20" i="11"/>
  <c r="D38" i="11" s="1"/>
  <c r="D44" i="11" s="1"/>
  <c r="G20" i="11"/>
  <c r="G38" i="11" s="1"/>
  <c r="G44" i="11" s="1"/>
  <c r="F20" i="11"/>
  <c r="H20" i="11"/>
  <c r="H38" i="11" s="1"/>
  <c r="H44" i="11" s="1"/>
  <c r="E20" i="11"/>
  <c r="F38" i="11"/>
  <c r="F44" i="11" s="1"/>
  <c r="F54" i="11" l="1"/>
  <c r="G54" i="11"/>
  <c r="E54" i="11"/>
  <c r="E38" i="11"/>
  <c r="E44" i="11" s="1"/>
  <c r="H54" i="11"/>
  <c r="H64" i="11"/>
  <c r="H65" i="11" l="1"/>
  <c r="H74" i="11"/>
  <c r="H75" i="11"/>
  <c r="C17" i="13" s="1"/>
  <c r="H65" i="7" l="1"/>
  <c r="H92" i="7" s="1"/>
  <c r="G65" i="7"/>
  <c r="G92" i="7" s="1"/>
  <c r="F65" i="7"/>
  <c r="F92" i="7" s="1"/>
  <c r="E65" i="7"/>
  <c r="D65" i="7"/>
  <c r="H90" i="7"/>
  <c r="G90" i="7"/>
  <c r="F90" i="7"/>
  <c r="E90" i="7"/>
  <c r="D90" i="7"/>
  <c r="D57" i="7"/>
  <c r="H64" i="7"/>
  <c r="G64" i="7"/>
  <c r="F64" i="7"/>
  <c r="E64" i="7"/>
  <c r="D64" i="7"/>
  <c r="H63" i="7"/>
  <c r="G63" i="7"/>
  <c r="F63" i="7"/>
  <c r="E63" i="7"/>
  <c r="D63" i="7"/>
  <c r="H62" i="7"/>
  <c r="G62" i="7"/>
  <c r="F62" i="7"/>
  <c r="E62" i="7"/>
  <c r="D62" i="7"/>
  <c r="H61" i="7"/>
  <c r="G61" i="7"/>
  <c r="F61" i="7"/>
  <c r="E61" i="7"/>
  <c r="D61" i="7"/>
  <c r="H60" i="7"/>
  <c r="G60" i="7"/>
  <c r="F60" i="7"/>
  <c r="E60" i="7"/>
  <c r="D60" i="7"/>
  <c r="H59" i="7"/>
  <c r="G59" i="7"/>
  <c r="F59" i="7"/>
  <c r="E59" i="7"/>
  <c r="D59" i="7"/>
  <c r="H58" i="7"/>
  <c r="G58" i="7"/>
  <c r="F58" i="7"/>
  <c r="E58" i="7"/>
  <c r="D58" i="7"/>
  <c r="H57" i="7"/>
  <c r="G57" i="7"/>
  <c r="F57" i="7"/>
  <c r="E57" i="7"/>
  <c r="H56" i="7"/>
  <c r="G56" i="7"/>
  <c r="F56" i="7"/>
  <c r="E56" i="7"/>
  <c r="H89" i="7"/>
  <c r="G89" i="7"/>
  <c r="F89" i="7"/>
  <c r="E89" i="7"/>
  <c r="H88" i="7"/>
  <c r="G88" i="7"/>
  <c r="F88" i="7"/>
  <c r="E88" i="7"/>
  <c r="H87" i="7"/>
  <c r="G87" i="7"/>
  <c r="F87" i="7"/>
  <c r="E87" i="7"/>
  <c r="H86" i="7"/>
  <c r="G86" i="7"/>
  <c r="F86" i="7"/>
  <c r="E86" i="7"/>
  <c r="H85" i="7"/>
  <c r="G85" i="7"/>
  <c r="F85" i="7"/>
  <c r="E85" i="7"/>
  <c r="H84" i="7"/>
  <c r="G84" i="7"/>
  <c r="F84" i="7"/>
  <c r="E84" i="7"/>
  <c r="H83" i="7"/>
  <c r="G83" i="7"/>
  <c r="F83" i="7"/>
  <c r="E83" i="7"/>
  <c r="H82" i="7"/>
  <c r="G82" i="7"/>
  <c r="F82" i="7"/>
  <c r="E82" i="7"/>
  <c r="H81" i="7"/>
  <c r="G81" i="7"/>
  <c r="F81" i="7"/>
  <c r="E81" i="7"/>
  <c r="D89" i="7"/>
  <c r="D88" i="7"/>
  <c r="D87" i="7"/>
  <c r="D86" i="7"/>
  <c r="D85" i="7"/>
  <c r="D84" i="7"/>
  <c r="D83" i="7"/>
  <c r="D82" i="7"/>
  <c r="D81" i="7"/>
  <c r="H77" i="7"/>
  <c r="G77" i="7"/>
  <c r="F77" i="7"/>
  <c r="E77" i="7"/>
  <c r="H76" i="7"/>
  <c r="G76" i="7"/>
  <c r="F76" i="7"/>
  <c r="E76" i="7"/>
  <c r="H75" i="7"/>
  <c r="G75" i="7"/>
  <c r="F75" i="7"/>
  <c r="E75" i="7"/>
  <c r="H74" i="7"/>
  <c r="G74" i="7"/>
  <c r="F74" i="7"/>
  <c r="E74" i="7"/>
  <c r="H73" i="7"/>
  <c r="G73" i="7"/>
  <c r="F73" i="7"/>
  <c r="E73" i="7"/>
  <c r="H72" i="7"/>
  <c r="G72" i="7"/>
  <c r="F72" i="7"/>
  <c r="E72" i="7"/>
  <c r="H71" i="7"/>
  <c r="G71" i="7"/>
  <c r="F71" i="7"/>
  <c r="E71" i="7"/>
  <c r="H70" i="7"/>
  <c r="G70" i="7"/>
  <c r="F70" i="7"/>
  <c r="E70" i="7"/>
  <c r="H69" i="7"/>
  <c r="G69" i="7"/>
  <c r="F69" i="7"/>
  <c r="E69" i="7"/>
  <c r="H68" i="7"/>
  <c r="H78" i="7" s="1"/>
  <c r="G68" i="7"/>
  <c r="G78" i="7" s="1"/>
  <c r="F68" i="7"/>
  <c r="F78" i="7" s="1"/>
  <c r="E68" i="7"/>
  <c r="E78" i="7" s="1"/>
  <c r="D77" i="7"/>
  <c r="D76" i="7"/>
  <c r="D75" i="7"/>
  <c r="D74" i="7"/>
  <c r="D72" i="7"/>
  <c r="D73" i="7"/>
  <c r="D71" i="7"/>
  <c r="D70" i="7"/>
  <c r="D69" i="7"/>
  <c r="D68" i="7"/>
  <c r="D78" i="7" s="1"/>
  <c r="D56" i="7"/>
  <c r="D11" i="8"/>
  <c r="H10" i="9"/>
  <c r="H9" i="9"/>
  <c r="H8" i="9"/>
  <c r="H7" i="9"/>
  <c r="G10" i="9"/>
  <c r="J10" i="9" s="1"/>
  <c r="G9" i="9"/>
  <c r="J9" i="9" s="1"/>
  <c r="G8" i="9"/>
  <c r="J8" i="9" s="1"/>
  <c r="G7" i="9"/>
  <c r="C32" i="9"/>
  <c r="D22" i="9"/>
  <c r="J32" i="9" s="1"/>
  <c r="C31" i="9"/>
  <c r="I13" i="9"/>
  <c r="I12" i="9"/>
  <c r="F13" i="9"/>
  <c r="F12" i="9"/>
  <c r="E92" i="7" l="1"/>
  <c r="D92" i="7"/>
  <c r="D23" i="9"/>
  <c r="J40" i="9" s="1"/>
  <c r="H13" i="9"/>
  <c r="C33" i="9"/>
  <c r="D31" i="9" s="1"/>
  <c r="G13" i="9"/>
  <c r="H12" i="9"/>
  <c r="J7" i="9"/>
  <c r="G12" i="9"/>
  <c r="E31" i="9" l="1"/>
  <c r="J41" i="9" s="1"/>
  <c r="D32" i="9"/>
  <c r="D37" i="9" s="1"/>
  <c r="D33" i="9"/>
  <c r="E33" i="9" s="1"/>
  <c r="E32" i="9" s="1"/>
  <c r="J12" i="9"/>
  <c r="J13" i="9"/>
  <c r="J31" i="9" s="1"/>
  <c r="E37" i="9" l="1"/>
  <c r="J33" i="9" s="1"/>
  <c r="J34" i="9" s="1"/>
  <c r="J23" i="9" s="1"/>
  <c r="J24" i="9" s="1"/>
  <c r="J43" i="9" s="1"/>
  <c r="J44" i="9"/>
  <c r="J45" i="9" l="1"/>
  <c r="E20" i="8" l="1"/>
  <c r="D21" i="8"/>
  <c r="D22" i="8" s="1"/>
  <c r="E22" i="8" s="1"/>
  <c r="F22" i="8" s="1"/>
  <c r="G22" i="8" s="1"/>
  <c r="H22" i="8" s="1"/>
  <c r="H46" i="7"/>
  <c r="G46" i="7"/>
  <c r="F46" i="7"/>
  <c r="E46" i="7"/>
  <c r="H45" i="7"/>
  <c r="G45" i="7"/>
  <c r="F45" i="7"/>
  <c r="E45" i="7"/>
  <c r="H44" i="7"/>
  <c r="G44" i="7"/>
  <c r="F44" i="7"/>
  <c r="E44" i="7"/>
  <c r="D46" i="7"/>
  <c r="D45" i="7"/>
  <c r="D44" i="7"/>
  <c r="H42" i="7"/>
  <c r="G42" i="7"/>
  <c r="F42" i="7"/>
  <c r="E42" i="7"/>
  <c r="H41" i="7"/>
  <c r="G41" i="7"/>
  <c r="F41" i="7"/>
  <c r="E41" i="7"/>
  <c r="H40" i="7"/>
  <c r="G40" i="7"/>
  <c r="F40" i="7"/>
  <c r="E40" i="7"/>
  <c r="H39" i="7"/>
  <c r="G39" i="7"/>
  <c r="F39" i="7"/>
  <c r="E39" i="7"/>
  <c r="D42" i="7"/>
  <c r="D41" i="7"/>
  <c r="D40" i="7"/>
  <c r="D39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D36" i="7"/>
  <c r="D35" i="7"/>
  <c r="D34" i="7"/>
  <c r="D33" i="7"/>
  <c r="H26" i="7"/>
  <c r="G26" i="7"/>
  <c r="F26" i="7"/>
  <c r="E26" i="7"/>
  <c r="D26" i="7"/>
  <c r="H22" i="7"/>
  <c r="H23" i="7" s="1"/>
  <c r="G22" i="7"/>
  <c r="G23" i="7" s="1"/>
  <c r="F22" i="7"/>
  <c r="F23" i="7" s="1"/>
  <c r="E22" i="7"/>
  <c r="E23" i="7" s="1"/>
  <c r="D22" i="7"/>
  <c r="D23" i="7" s="1"/>
  <c r="H21" i="7"/>
  <c r="G21" i="7"/>
  <c r="F21" i="7"/>
  <c r="E21" i="7"/>
  <c r="D21" i="7"/>
  <c r="H9" i="7"/>
  <c r="G9" i="7"/>
  <c r="F9" i="7"/>
  <c r="E9" i="7"/>
  <c r="D9" i="7"/>
  <c r="D23" i="8" l="1"/>
  <c r="E23" i="8" s="1"/>
  <c r="F23" i="8" s="1"/>
  <c r="G23" i="8" s="1"/>
  <c r="H23" i="8" s="1"/>
  <c r="E21" i="8"/>
  <c r="F21" i="8" s="1"/>
  <c r="G21" i="8" s="1"/>
  <c r="H21" i="8" s="1"/>
  <c r="E43" i="7"/>
  <c r="D47" i="7"/>
  <c r="F43" i="7"/>
  <c r="G47" i="7"/>
  <c r="H47" i="7"/>
  <c r="E47" i="7"/>
  <c r="F47" i="7"/>
  <c r="G37" i="7"/>
  <c r="D43" i="7"/>
  <c r="G43" i="7"/>
  <c r="H37" i="7"/>
  <c r="H43" i="7"/>
  <c r="D37" i="7"/>
  <c r="E37" i="7"/>
  <c r="F37" i="7"/>
  <c r="H18" i="7"/>
  <c r="G18" i="7"/>
  <c r="F18" i="7"/>
  <c r="E18" i="7"/>
  <c r="D18" i="7"/>
  <c r="H17" i="7"/>
  <c r="G17" i="7"/>
  <c r="F17" i="7"/>
  <c r="E17" i="7"/>
  <c r="D17" i="7"/>
  <c r="H13" i="7"/>
  <c r="G13" i="7"/>
  <c r="F13" i="7"/>
  <c r="E13" i="7"/>
  <c r="D13" i="7"/>
  <c r="H7" i="7"/>
  <c r="G7" i="7"/>
  <c r="F7" i="7"/>
  <c r="E7" i="7"/>
  <c r="D7" i="7"/>
  <c r="H3" i="7"/>
  <c r="G3" i="7"/>
  <c r="G54" i="7" s="1"/>
  <c r="F3" i="7"/>
  <c r="F54" i="7" s="1"/>
  <c r="E3" i="7"/>
  <c r="E54" i="7" s="1"/>
  <c r="D3" i="7"/>
  <c r="D54" i="7" s="1"/>
  <c r="B1" i="7"/>
  <c r="H54" i="7" l="1"/>
  <c r="D16" i="8"/>
  <c r="E16" i="8" s="1"/>
  <c r="F16" i="8" s="1"/>
  <c r="G16" i="8" s="1"/>
  <c r="H16" i="8" s="1"/>
  <c r="D17" i="8" a="1"/>
  <c r="D17" i="8" s="1"/>
  <c r="D18" i="8" s="1"/>
  <c r="E49" i="7"/>
  <c r="D49" i="7"/>
  <c r="F49" i="7"/>
  <c r="H49" i="7"/>
  <c r="G49" i="7"/>
  <c r="E11" i="7"/>
  <c r="E12" i="7" s="1"/>
  <c r="F11" i="7"/>
  <c r="F12" i="7" s="1"/>
  <c r="G11" i="7"/>
  <c r="G12" i="7" s="1"/>
  <c r="H11" i="7"/>
  <c r="D14" i="7"/>
  <c r="H10" i="7"/>
  <c r="H14" i="7"/>
  <c r="F8" i="7"/>
  <c r="D11" i="7"/>
  <c r="G8" i="7"/>
  <c r="E8" i="7"/>
  <c r="E10" i="7"/>
  <c r="E14" i="7"/>
  <c r="F10" i="7"/>
  <c r="F14" i="7"/>
  <c r="G10" i="7"/>
  <c r="G14" i="7"/>
  <c r="H8" i="7"/>
  <c r="D10" i="7"/>
  <c r="H17" i="8" l="1"/>
  <c r="G17" i="8"/>
  <c r="F17" i="8"/>
  <c r="E17" i="8"/>
  <c r="E18" i="8" s="1"/>
  <c r="E15" i="7"/>
  <c r="G15" i="7"/>
  <c r="F15" i="7"/>
  <c r="D12" i="7"/>
  <c r="D15" i="7"/>
  <c r="H12" i="7"/>
  <c r="H15" i="7"/>
  <c r="F18" i="8" l="1"/>
  <c r="G18" i="8" s="1"/>
  <c r="H18" i="8" s="1"/>
  <c r="E16" i="7"/>
  <c r="E19" i="7"/>
  <c r="E24" i="7" s="1"/>
  <c r="E27" i="7" s="1"/>
  <c r="H16" i="7"/>
  <c r="H19" i="7"/>
  <c r="H24" i="7" s="1"/>
  <c r="H27" i="7" s="1"/>
  <c r="D16" i="7"/>
  <c r="D19" i="7"/>
  <c r="D24" i="7" s="1"/>
  <c r="D27" i="7" s="1"/>
  <c r="F16" i="7"/>
  <c r="F19" i="7"/>
  <c r="G16" i="7"/>
  <c r="G19" i="7"/>
  <c r="G24" i="7" s="1"/>
  <c r="G27" i="7" s="1"/>
  <c r="F24" i="7" l="1"/>
  <c r="F27" i="7" s="1"/>
  <c r="D20" i="7"/>
  <c r="G20" i="7"/>
  <c r="H20" i="7"/>
  <c r="E20" i="7"/>
  <c r="F20" i="7"/>
  <c r="G25" i="7" l="1"/>
  <c r="G28" i="7"/>
  <c r="G29" i="7" s="1"/>
  <c r="H25" i="7"/>
  <c r="H28" i="7"/>
  <c r="H29" i="7" s="1"/>
  <c r="F25" i="7"/>
  <c r="F28" i="7"/>
  <c r="F29" i="7" s="1"/>
  <c r="E25" i="7"/>
  <c r="E28" i="7"/>
  <c r="E29" i="7" s="1"/>
  <c r="D25" i="7"/>
  <c r="D28" i="7"/>
  <c r="D29" i="7" s="1"/>
  <c r="C6" i="3" l="1"/>
  <c r="D6" i="3"/>
  <c r="E6" i="3"/>
  <c r="F6" i="3"/>
  <c r="G6" i="3"/>
  <c r="H6" i="3"/>
  <c r="H14" i="3" s="1"/>
  <c r="I6" i="3"/>
  <c r="J6" i="3"/>
  <c r="J14" i="3" s="1"/>
  <c r="K6" i="3"/>
  <c r="B6" i="3"/>
  <c r="C5" i="1"/>
  <c r="D5" i="1"/>
  <c r="E5" i="1"/>
  <c r="F5" i="1"/>
  <c r="G5" i="1"/>
  <c r="H5" i="1"/>
  <c r="I5" i="1"/>
  <c r="J5" i="1"/>
  <c r="K5" i="1"/>
  <c r="B5" i="1"/>
  <c r="G13" i="1"/>
  <c r="B6" i="6"/>
  <c r="C17" i="2"/>
  <c r="C20" i="2" s="1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H21" i="2" s="1"/>
  <c r="I18" i="2"/>
  <c r="J18" i="2"/>
  <c r="J21" i="2" s="1"/>
  <c r="K18" i="2"/>
  <c r="B17" i="2"/>
  <c r="C4" i="2"/>
  <c r="D4" i="2"/>
  <c r="E4" i="2"/>
  <c r="E5" i="2"/>
  <c r="E23" i="2" s="1"/>
  <c r="F4" i="2"/>
  <c r="G4" i="2"/>
  <c r="H4" i="2"/>
  <c r="I4" i="2"/>
  <c r="I5" i="2"/>
  <c r="J4" i="2"/>
  <c r="J5" i="2"/>
  <c r="K4" i="2"/>
  <c r="C5" i="2"/>
  <c r="D5" i="2"/>
  <c r="D23" i="2" s="1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D16" i="2" s="1"/>
  <c r="E13" i="2"/>
  <c r="F13" i="2"/>
  <c r="G13" i="2"/>
  <c r="H13" i="2"/>
  <c r="H16" i="2" s="1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E14" i="3" s="1"/>
  <c r="F4" i="3"/>
  <c r="G4" i="3"/>
  <c r="G14" i="3" s="1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L10" i="1" s="1"/>
  <c r="K10" i="3"/>
  <c r="C11" i="3"/>
  <c r="D11" i="3"/>
  <c r="E11" i="3"/>
  <c r="F11" i="3"/>
  <c r="G11" i="3"/>
  <c r="H11" i="3"/>
  <c r="I11" i="3"/>
  <c r="L11" i="1" s="1"/>
  <c r="J11" i="3"/>
  <c r="K11" i="3"/>
  <c r="C12" i="3"/>
  <c r="D12" i="3"/>
  <c r="E12" i="3"/>
  <c r="F12" i="3"/>
  <c r="G12" i="3"/>
  <c r="H12" i="3"/>
  <c r="L12" i="1" s="1"/>
  <c r="L13" i="1" s="1"/>
  <c r="L14" i="1" s="1"/>
  <c r="L25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F4" i="1"/>
  <c r="F20" i="2" s="1"/>
  <c r="G4" i="1"/>
  <c r="H4" i="1"/>
  <c r="I4" i="1"/>
  <c r="J4" i="1"/>
  <c r="J20" i="2" s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23" i="2" s="1"/>
  <c r="D12" i="1"/>
  <c r="E12" i="1"/>
  <c r="F12" i="1"/>
  <c r="F13" i="1" s="1"/>
  <c r="G12" i="1"/>
  <c r="H12" i="1"/>
  <c r="H13" i="1" s="1"/>
  <c r="I12" i="1"/>
  <c r="J12" i="1"/>
  <c r="J13" i="1" s="1"/>
  <c r="K12" i="1"/>
  <c r="C15" i="1"/>
  <c r="D15" i="1"/>
  <c r="E15" i="1"/>
  <c r="F15" i="1"/>
  <c r="G15" i="1"/>
  <c r="H15" i="1"/>
  <c r="I15" i="1"/>
  <c r="J15" i="1"/>
  <c r="K15" i="1"/>
  <c r="B15" i="1"/>
  <c r="I13" i="1"/>
  <c r="B7" i="1"/>
  <c r="B4" i="1"/>
  <c r="B20" i="2" s="1"/>
  <c r="A1" i="1"/>
  <c r="E1" i="6"/>
  <c r="H1" i="1" s="1"/>
  <c r="K16" i="2"/>
  <c r="F16" i="2"/>
  <c r="E6" i="1"/>
  <c r="E19" i="1"/>
  <c r="I6" i="1"/>
  <c r="I19" i="1" s="1"/>
  <c r="K6" i="1"/>
  <c r="K19" i="1" s="1"/>
  <c r="G6" i="1"/>
  <c r="G19" i="1" s="1"/>
  <c r="C6" i="1"/>
  <c r="C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I21" i="2"/>
  <c r="G21" i="2"/>
  <c r="E21" i="2"/>
  <c r="C21" i="2"/>
  <c r="B18" i="2"/>
  <c r="B21" i="2" s="1"/>
  <c r="B13" i="2"/>
  <c r="B16" i="2" s="1"/>
  <c r="B12" i="2"/>
  <c r="B11" i="2"/>
  <c r="B10" i="2"/>
  <c r="B8" i="2"/>
  <c r="B7" i="2"/>
  <c r="B6" i="2"/>
  <c r="B3" i="2"/>
  <c r="F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I14" i="3"/>
  <c r="G20" i="2"/>
  <c r="K20" i="2"/>
  <c r="E20" i="2"/>
  <c r="A1" i="3"/>
  <c r="A1" i="2"/>
  <c r="A1" i="4"/>
  <c r="B14" i="1" l="1"/>
  <c r="J6" i="1"/>
  <c r="J19" i="1" s="1"/>
  <c r="K24" i="1" s="1"/>
  <c r="M24" i="1" s="1"/>
  <c r="F23" i="2"/>
  <c r="J14" i="1"/>
  <c r="K23" i="2"/>
  <c r="C13" i="1"/>
  <c r="C14" i="1" s="1"/>
  <c r="I14" i="1"/>
  <c r="I16" i="2"/>
  <c r="I23" i="2"/>
  <c r="G14" i="1"/>
  <c r="L5" i="1"/>
  <c r="L4" i="1"/>
  <c r="L23" i="1" s="1"/>
  <c r="G23" i="2"/>
  <c r="D21" i="2"/>
  <c r="F14" i="1"/>
  <c r="H23" i="2"/>
  <c r="N11" i="1"/>
  <c r="M11" i="1"/>
  <c r="E24" i="2"/>
  <c r="J24" i="2"/>
  <c r="D24" i="2"/>
  <c r="C24" i="2"/>
  <c r="H24" i="2"/>
  <c r="K13" i="1"/>
  <c r="K14" i="1" s="1"/>
  <c r="I24" i="2"/>
  <c r="J23" i="1"/>
  <c r="L6" i="1"/>
  <c r="L19" i="1" s="1"/>
  <c r="L24" i="1" s="1"/>
  <c r="B23" i="2"/>
  <c r="H14" i="1"/>
  <c r="G24" i="2"/>
  <c r="D13" i="1"/>
  <c r="E13" i="1" s="1"/>
  <c r="E14" i="1" s="1"/>
  <c r="I25" i="1" s="1"/>
  <c r="B6" i="1"/>
  <c r="B19" i="1" s="1"/>
  <c r="L9" i="1"/>
  <c r="N9" i="1" s="1"/>
  <c r="L8" i="1"/>
  <c r="N8" i="1" s="1"/>
  <c r="L7" i="1"/>
  <c r="D14" i="3"/>
  <c r="E16" i="2"/>
  <c r="J23" i="2"/>
  <c r="F21" i="2"/>
  <c r="K24" i="2"/>
  <c r="I23" i="1"/>
  <c r="H23" i="1"/>
  <c r="D20" i="2"/>
  <c r="E1" i="3"/>
  <c r="E1" i="2"/>
  <c r="F24" i="2"/>
  <c r="M9" i="1"/>
  <c r="I20" i="2"/>
  <c r="H20" i="2"/>
  <c r="K23" i="1"/>
  <c r="M23" i="1" s="1"/>
  <c r="M4" i="1" s="1"/>
  <c r="H6" i="1"/>
  <c r="H19" i="1" s="1"/>
  <c r="J24" i="1" s="1"/>
  <c r="F6" i="1"/>
  <c r="F19" i="1" s="1"/>
  <c r="E1" i="4"/>
  <c r="H24" i="1" l="1"/>
  <c r="N23" i="1"/>
  <c r="N4" i="1" s="1"/>
  <c r="J25" i="1"/>
  <c r="K25" i="1"/>
  <c r="M25" i="1" s="1"/>
  <c r="M14" i="1" s="1"/>
  <c r="I24" i="1"/>
  <c r="N24" i="1" s="1"/>
  <c r="N6" i="1" s="1"/>
  <c r="M8" i="1"/>
  <c r="D14" i="1"/>
  <c r="H25" i="1" s="1"/>
  <c r="N25" i="1" s="1"/>
  <c r="N14" i="1" s="1"/>
  <c r="M6" i="1"/>
  <c r="M10" i="1" s="1"/>
  <c r="M12" i="1" s="1"/>
  <c r="M13" i="1" s="1"/>
  <c r="N10" i="1" l="1"/>
  <c r="N12" i="1" s="1"/>
  <c r="N13" i="1" s="1"/>
  <c r="N15" i="1" s="1"/>
  <c r="N5" i="1"/>
  <c r="M15" i="1"/>
  <c r="M5" i="1"/>
</calcChain>
</file>

<file path=xl/sharedStrings.xml><?xml version="1.0" encoding="utf-8"?>
<sst xmlns="http://schemas.openxmlformats.org/spreadsheetml/2006/main" count="448" uniqueCount="288">
  <si>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</si>
  <si>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</si>
  <si>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</si>
  <si>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</si>
  <si>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</si>
  <si>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</si>
  <si>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</si>
  <si>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</si>
  <si>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</si>
  <si>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</si>
  <si>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</si>
  <si>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</si>
  <si>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</si>
  <si>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</si>
  <si>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</si>
  <si>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</si>
  <si>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</si>
  <si>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</si>
  <si>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</si>
  <si>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</si>
  <si>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</si>
  <si>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</si>
  <si>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</si>
  <si>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</si>
  <si>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</si>
  <si>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</si>
  <si>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</si>
  <si>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</si>
  <si>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</si>
  <si>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</si>
  <si>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</si>
  <si>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</si>
  <si>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</si>
  <si>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</si>
  <si>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</si>
  <si>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</si>
  <si>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</si>
  <si>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</si>
  <si>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</si>
  <si>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</si>
  <si>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</si>
  <si>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</si>
  <si>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</si>
  <si>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</si>
  <si>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</si>
  <si>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</si>
  <si>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</si>
  <si>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</si>
  <si>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</si>
  <si>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</si>
  <si>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</si>
  <si>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</si>
  <si>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</si>
  <si>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</si>
  <si>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</si>
  <si>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</si>
  <si>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</si>
  <si>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</si>
  <si>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</si>
  <si>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</si>
  <si>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</si>
  <si>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</si>
  <si>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</si>
  <si>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TRENT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</si>
  <si>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</si>
  <si>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</si>
  <si>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</si>
  <si>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</si>
  <si>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</si>
  <si>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</si>
  <si>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</si>
  <si>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</si>
  <si>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</si>
  <si>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</si>
  <si>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</si>
  <si>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</si>
  <si>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</si>
  <si>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</si>
  <si>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</si>
  <si>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</si>
  <si>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</si>
  <si>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</si>
  <si>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</si>
  <si>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</si>
  <si>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</si>
  <si>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</si>
  <si>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</si>
  <si>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</si>
  <si>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</si>
  <si>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</si>
  <si>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</si>
  <si>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</si>
  <si>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</si>
  <si>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</t>
  </si>
  <si>
    <t>COGS</t>
  </si>
  <si>
    <t>COGS %of Sales</t>
  </si>
  <si>
    <t>Gross Profit</t>
  </si>
  <si>
    <t>Gross Margin</t>
  </si>
  <si>
    <t>Selling &amp; General Expenses</t>
  </si>
  <si>
    <t>EBIDTA</t>
  </si>
  <si>
    <t>EBIDTA Margin</t>
  </si>
  <si>
    <t>Intreste</t>
  </si>
  <si>
    <t>Earing Before Tax</t>
  </si>
  <si>
    <t>EBT % of sales</t>
  </si>
  <si>
    <t>Effective Tax Rate</t>
  </si>
  <si>
    <t>Net Profit (PAT)</t>
  </si>
  <si>
    <t>Net Profit %of Sales</t>
  </si>
  <si>
    <t>SG&amp;A as % of sales</t>
  </si>
  <si>
    <t>EBIT</t>
  </si>
  <si>
    <t>EBIT as % of sales</t>
  </si>
  <si>
    <t>Depreciation%of Net block</t>
  </si>
  <si>
    <t>Intreste%of Debt</t>
  </si>
  <si>
    <t xml:space="preserve">Total Liablities </t>
  </si>
  <si>
    <t>Non- Current Assets</t>
  </si>
  <si>
    <t>Current Assets</t>
  </si>
  <si>
    <t>Total Assets</t>
  </si>
  <si>
    <t>Key Assumption &amp; Methodology</t>
  </si>
  <si>
    <t>Valuation Date</t>
  </si>
  <si>
    <t>Projection Period</t>
  </si>
  <si>
    <t>Revenue Growth %</t>
  </si>
  <si>
    <t>Annual Growth Tapering</t>
  </si>
  <si>
    <t>Terminal Growth Rate</t>
  </si>
  <si>
    <t>Risk-Free Rate (Rf)</t>
  </si>
  <si>
    <t>Equity Risk Premium (ERP)</t>
  </si>
  <si>
    <t>Tax Rate</t>
  </si>
  <si>
    <t>Parameter</t>
  </si>
  <si>
    <t>Value</t>
  </si>
  <si>
    <t>Retionale</t>
  </si>
  <si>
    <t>Based on Management Guidence</t>
  </si>
  <si>
    <t>Chosen Scenario:</t>
  </si>
  <si>
    <t>Base Case</t>
  </si>
  <si>
    <t>Revenue Grwoth %</t>
  </si>
  <si>
    <t>Revenue (INR)</t>
  </si>
  <si>
    <t>Peer Coms</t>
  </si>
  <si>
    <t>Country</t>
  </si>
  <si>
    <t>Market cap</t>
  </si>
  <si>
    <t>Equity</t>
  </si>
  <si>
    <t>Debt</t>
  </si>
  <si>
    <t>Debt/</t>
  </si>
  <si>
    <t>Debt/Equity</t>
  </si>
  <si>
    <t>Capital</t>
  </si>
  <si>
    <t xml:space="preserve">Levered </t>
  </si>
  <si>
    <t xml:space="preserve">Unlevered </t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</si>
  <si>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</si>
  <si>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</si>
  <si>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Trent</t>
  </si>
  <si>
    <t>Lenskart Solut.</t>
  </si>
  <si>
    <t>A B Lifestyle</t>
  </si>
  <si>
    <t>Vedant Fashions</t>
  </si>
  <si>
    <t>India</t>
  </si>
  <si>
    <t>Average</t>
  </si>
  <si>
    <t>Median</t>
  </si>
  <si>
    <t xml:space="preserve">Cost of Debt </t>
  </si>
  <si>
    <t xml:space="preserve">Pre-Tax Cost of Debt </t>
  </si>
  <si>
    <t>Tax rate</t>
  </si>
  <si>
    <t xml:space="preserve">Post Tax Cost of Debt </t>
  </si>
  <si>
    <t>Risk Free Return</t>
  </si>
  <si>
    <t>Market Return</t>
  </si>
  <si>
    <t>Levered Beta</t>
  </si>
  <si>
    <t xml:space="preserve">Cost of Equity 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</si>
  <si>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</si>
  <si>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Capital Structure </t>
  </si>
  <si>
    <t>Total Capital</t>
  </si>
  <si>
    <t>Unlevered Beta</t>
  </si>
  <si>
    <t>Targeted Debt/Equity</t>
  </si>
  <si>
    <t>Weighted Average Cost of Capital</t>
  </si>
  <si>
    <t>Targeted Weighted Debt</t>
  </si>
  <si>
    <t>Cost of Equity (Ke)</t>
  </si>
  <si>
    <t>Post Tax Cost of Debt (Kd)</t>
  </si>
  <si>
    <t>Targeted Weighted Equity</t>
  </si>
  <si>
    <t>WACC</t>
  </si>
  <si>
    <t>Current</t>
  </si>
  <si>
    <t>Target</t>
  </si>
  <si>
    <t>Market Cap</t>
  </si>
  <si>
    <t>10 years Gov bond Rate</t>
  </si>
  <si>
    <t>Index  Avg Return - Bond Rate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</si>
  <si>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</si>
  <si>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</si>
  <si>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</si>
  <si>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</si>
  <si>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</si>
  <si>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</si>
  <si>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Interest paid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</si>
  <si>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</si>
  <si>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</si>
  <si>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</si>
  <si>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</si>
  <si>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</si>
  <si>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</si>
  <si>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</si>
  <si>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</si>
  <si>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</si>
  <si>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</si>
  <si>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</si>
  <si>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</si>
  <si>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</si>
  <si>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</si>
  <si>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</si>
  <si>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</si>
  <si>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</si>
  <si>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</si>
  <si>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</si>
  <si>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</si>
  <si>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Application money refund</t>
  </si>
  <si>
    <t>Other financing items</t>
  </si>
  <si>
    <t>Particular</t>
  </si>
  <si>
    <t xml:space="preserve">Operating Activity </t>
  </si>
  <si>
    <t xml:space="preserve">Investing Activity </t>
  </si>
  <si>
    <t xml:space="preserve">Cash from Financing Activity </t>
  </si>
  <si>
    <t xml:space="preserve">Cash from Operating Activity </t>
  </si>
  <si>
    <t xml:space="preserve">Financing Activity </t>
  </si>
  <si>
    <t>Net CashFlow</t>
  </si>
  <si>
    <t>Peer Comparable WACC</t>
  </si>
  <si>
    <t>#</t>
  </si>
  <si>
    <t>Particulars</t>
  </si>
  <si>
    <t>Calculation of ROIC</t>
  </si>
  <si>
    <t>Equity Capital</t>
  </si>
  <si>
    <t>Borrowings -</t>
  </si>
  <si>
    <t>Long term Borrowings</t>
  </si>
  <si>
    <t>Short term Borrowings</t>
  </si>
  <si>
    <t>Lease Liabilities</t>
  </si>
  <si>
    <t>Non controlling int</t>
  </si>
  <si>
    <t>Trade Payables</t>
  </si>
  <si>
    <t>Other liability items</t>
  </si>
  <si>
    <t>Total Liabilities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</si>
  <si>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</si>
  <si>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</si>
  <si>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</si>
  <si>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</si>
  <si>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</si>
  <si>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</si>
  <si>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</si>
  <si>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</si>
  <si>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</si>
  <si>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</si>
  <si>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</si>
  <si>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</si>
  <si>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</si>
  <si>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</si>
  <si>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Trade receivables</t>
  </si>
  <si>
    <t>Cash Equivalents</t>
  </si>
  <si>
    <t>Loans n Advances</t>
  </si>
  <si>
    <t>Other asset items</t>
  </si>
  <si>
    <t>Total Current Assets</t>
  </si>
  <si>
    <t>Total Operating Current Assets</t>
  </si>
  <si>
    <t>Current Liblities</t>
  </si>
  <si>
    <t>Total Operating Current Liblities</t>
  </si>
  <si>
    <t xml:space="preserve">Net Working Capital </t>
  </si>
  <si>
    <t>Total Capital Invested</t>
  </si>
  <si>
    <t>EBIT*(1-Tax)</t>
  </si>
  <si>
    <t>Calculation of Reinvestment Rate</t>
  </si>
  <si>
    <t>Capital Expenditure</t>
  </si>
  <si>
    <t>Net Capex</t>
  </si>
  <si>
    <t>Change in Working Capital</t>
  </si>
  <si>
    <t xml:space="preserve">Reinvested Amount </t>
  </si>
  <si>
    <t>Rinvested Rate</t>
  </si>
  <si>
    <t>ROIC Rate</t>
  </si>
  <si>
    <t>4 Year Avereage</t>
  </si>
  <si>
    <t>4 Years Median</t>
  </si>
  <si>
    <t>Calculation Of Growth Rate</t>
  </si>
  <si>
    <t xml:space="preserve">Intrinsic Growth Rate Calculation </t>
  </si>
  <si>
    <t xml:space="preserve">Calculation of PV of Future Cashflow </t>
  </si>
  <si>
    <t xml:space="preserve">EBIT </t>
  </si>
  <si>
    <t>EBIT*(1-Tax Rate)</t>
  </si>
  <si>
    <t>FCFF</t>
  </si>
  <si>
    <t xml:space="preserve">Mid Year Convention </t>
  </si>
  <si>
    <t>Discounted Factors</t>
  </si>
  <si>
    <t>PV of Future CashFlow</t>
  </si>
  <si>
    <t>Sustainable Growth</t>
  </si>
  <si>
    <t>Expected Growth</t>
  </si>
  <si>
    <t>Terminal Growth</t>
  </si>
  <si>
    <t>Reinvested Amount</t>
  </si>
  <si>
    <t>Calculation of Terminal Value</t>
  </si>
  <si>
    <t>FCFF (n+1)</t>
  </si>
  <si>
    <t>Terminal Value</t>
  </si>
  <si>
    <t>Calculation of Equity Value per Share</t>
  </si>
  <si>
    <t>PV of FCFF</t>
  </si>
  <si>
    <t>PV of Terminal Value</t>
  </si>
  <si>
    <t>Value of Operating Assets</t>
  </si>
  <si>
    <t>Add: Cash</t>
  </si>
  <si>
    <t>Less: Debt</t>
  </si>
  <si>
    <t>Value of Equity</t>
  </si>
  <si>
    <t>No of Shares</t>
  </si>
  <si>
    <t>Share Price Value</t>
  </si>
  <si>
    <t>Share price</t>
  </si>
  <si>
    <t>Discount/Premium</t>
  </si>
  <si>
    <t>Note :- The stock looks massively overvalued</t>
  </si>
  <si>
    <t>Equity Valuation of Trent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</si>
</sst>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"/>
    <numFmt numFmtId="167" formatCode=";;;"/>
    <numFmt numFmtId="168" formatCode="mmm/yy\ &quot;E&quot;"/>
    <numFmt numFmtId="169" formatCode="mmm/yy\ &quot;A&quot;"/>
    <numFmt numFmtId="170" formatCode="_ * #,##0.000_ ;_ * \-#,##0.000_ ;_ * &quot;-&quot;??_ ;_ @_ "/>
    <numFmt numFmtId="171" formatCode="#,##0.0;\(#,##0.0\);\-"/>
    <numFmt numFmtId="179" formatCode="mmm/yy&quot;A&quot;"/>
    <numFmt numFmtId="181" formatCode="0.000000000000000%"/>
    <numFmt numFmtId="182" formatCode="_ * #,##0.0_ ;_ * \-#,##0.0_ ;_ * &quot;-&quot;??_ ;_ @_ "/>
    <numFmt numFmtId="185" formatCode="0.00\ &quot;x&quot;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0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double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 style="medium">
        <color rgb="FF002060"/>
      </top>
      <bottom style="double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9" fontId="4" fillId="0" borderId="0" applyFont="0" applyFill="0" applyBorder="0" applyAlignment="0" applyProtection="0"/>
    <xf numFmtId="0" fontId="1" fillId="0" borderId="0"/>
  </cellStyleXfs>
  <cellXfs count="209">
    <xf numFmtId="0" fontId="0" fillId="0" borderId="0" xfId="0"/>
    <xf numFmtId="43" fontId="2" fillId="0" borderId="0" xfId="1" applyFont="1" applyBorder="1"/>
    <xf numFmtId="0" fontId="2" fillId="0" borderId="0" xfId="0" applyFont="1"/>
    <xf numFmtId="0" fontId="9" fillId="0" borderId="0" xfId="0" applyFont="1"/>
    <xf numFmtId="43" fontId="0" fillId="0" borderId="0" xfId="1" applyFont="1" applyBorder="1"/>
    <xf numFmtId="10" fontId="0" fillId="0" borderId="0" xfId="0" applyNumberFormat="1"/>
    <xf numFmtId="43" fontId="4" fillId="0" borderId="0" xfId="1" applyFont="1" applyBorder="1"/>
    <xf numFmtId="9" fontId="4" fillId="0" borderId="0" xfId="1" applyNumberFormat="1" applyFont="1" applyBorder="1"/>
    <xf numFmtId="43" fontId="3" fillId="2" borderId="0" xfId="3" applyNumberFormat="1" applyFont="1" applyBorder="1"/>
    <xf numFmtId="43" fontId="3" fillId="3" borderId="0" xfId="4" applyNumberFormat="1" applyFont="1" applyBorder="1"/>
    <xf numFmtId="9" fontId="2" fillId="0" borderId="0" xfId="6" applyFont="1" applyBorder="1"/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10" fontId="2" fillId="0" borderId="0" xfId="0" applyNumberFormat="1" applyFont="1"/>
    <xf numFmtId="165" fontId="3" fillId="5" borderId="0" xfId="1" applyNumberFormat="1" applyFont="1" applyFill="1" applyBorder="1"/>
    <xf numFmtId="165" fontId="10" fillId="0" borderId="0" xfId="1" applyNumberFormat="1" applyFont="1" applyFill="1" applyBorder="1"/>
    <xf numFmtId="0" fontId="8" fillId="0" borderId="0" xfId="0" applyFont="1"/>
    <xf numFmtId="0" fontId="0" fillId="0" borderId="0" xfId="0" applyAlignment="1">
      <alignment horizontal="left"/>
    </xf>
    <xf numFmtId="0" fontId="7" fillId="0" borderId="0" xfId="2" applyFont="1" applyBorder="1" applyAlignment="1" applyProtection="1">
      <alignment horizontal="left"/>
    </xf>
    <xf numFmtId="0" fontId="7" fillId="0" borderId="0" xfId="2" applyFont="1" applyBorder="1" applyAlignment="1" applyProtection="1"/>
    <xf numFmtId="0" fontId="10" fillId="0" borderId="0" xfId="0" applyFont="1"/>
    <xf numFmtId="164" fontId="0" fillId="0" borderId="0" xfId="1" applyNumberFormat="1" applyFont="1" applyBorder="1"/>
    <xf numFmtId="0" fontId="3" fillId="6" borderId="0" xfId="0" applyFont="1" applyFill="1"/>
    <xf numFmtId="0" fontId="3" fillId="8" borderId="0" xfId="0" applyFont="1" applyFill="1"/>
    <xf numFmtId="17" fontId="3" fillId="8" borderId="0" xfId="0" applyNumberFormat="1" applyFont="1" applyFill="1"/>
    <xf numFmtId="0" fontId="6" fillId="8" borderId="0" xfId="0" applyFont="1" applyFill="1"/>
    <xf numFmtId="166" fontId="0" fillId="0" borderId="0" xfId="0" applyNumberFormat="1"/>
    <xf numFmtId="9" fontId="0" fillId="0" borderId="0" xfId="6" applyFont="1"/>
    <xf numFmtId="10" fontId="13" fillId="0" borderId="0" xfId="6" applyNumberFormat="1" applyFont="1"/>
    <xf numFmtId="0" fontId="13" fillId="0" borderId="0" xfId="0" applyFont="1"/>
    <xf numFmtId="9" fontId="13" fillId="0" borderId="0" xfId="6" applyFont="1"/>
    <xf numFmtId="0" fontId="2" fillId="0" borderId="2" xfId="0" applyFont="1" applyBorder="1"/>
    <xf numFmtId="166" fontId="2" fillId="0" borderId="2" xfId="0" applyNumberFormat="1" applyFont="1" applyBorder="1"/>
    <xf numFmtId="10" fontId="12" fillId="0" borderId="2" xfId="6" applyNumberFormat="1" applyFont="1" applyBorder="1"/>
    <xf numFmtId="0" fontId="2" fillId="0" borderId="3" xfId="0" applyFont="1" applyBorder="1"/>
    <xf numFmtId="166" fontId="2" fillId="0" borderId="3" xfId="0" applyNumberFormat="1" applyFont="1" applyBorder="1"/>
    <xf numFmtId="43" fontId="2" fillId="0" borderId="2" xfId="1" applyFont="1" applyBorder="1"/>
    <xf numFmtId="0" fontId="0" fillId="0" borderId="2" xfId="0" applyBorder="1"/>
    <xf numFmtId="43" fontId="2" fillId="0" borderId="2" xfId="1" applyFont="1" applyFill="1" applyBorder="1"/>
    <xf numFmtId="43" fontId="2" fillId="0" borderId="3" xfId="1" applyFont="1" applyFill="1" applyBorder="1"/>
    <xf numFmtId="43" fontId="2" fillId="0" borderId="3" xfId="1" applyFont="1" applyBorder="1"/>
    <xf numFmtId="0" fontId="0" fillId="0" borderId="0" xfId="0" applyAlignment="1">
      <alignment horizontal="center"/>
    </xf>
    <xf numFmtId="0" fontId="2" fillId="8" borderId="0" xfId="0" applyFont="1" applyFill="1" applyAlignment="1">
      <alignment horizontal="left"/>
    </xf>
    <xf numFmtId="0" fontId="2" fillId="8" borderId="4" xfId="0" applyFont="1" applyFill="1" applyBorder="1" applyAlignment="1">
      <alignment horizontal="left"/>
    </xf>
    <xf numFmtId="0" fontId="0" fillId="8" borderId="0" xfId="0" applyFill="1"/>
    <xf numFmtId="0" fontId="3" fillId="6" borderId="0" xfId="0" applyFont="1" applyFill="1" applyAlignment="1">
      <alignment horizontal="right"/>
    </xf>
    <xf numFmtId="10" fontId="14" fillId="0" borderId="0" xfId="0" applyNumberFormat="1" applyFont="1"/>
    <xf numFmtId="167" fontId="0" fillId="0" borderId="0" xfId="0" applyNumberFormat="1"/>
    <xf numFmtId="168" fontId="3" fillId="6" borderId="0" xfId="0" applyNumberFormat="1" applyFont="1" applyFill="1"/>
    <xf numFmtId="169" fontId="3" fillId="6" borderId="0" xfId="0" applyNumberFormat="1" applyFont="1" applyFill="1"/>
    <xf numFmtId="0" fontId="0" fillId="9" borderId="0" xfId="0" applyFill="1"/>
    <xf numFmtId="10" fontId="0" fillId="0" borderId="2" xfId="0" applyNumberFormat="1" applyBorder="1"/>
    <xf numFmtId="2" fontId="0" fillId="0" borderId="0" xfId="0" applyNumberFormat="1"/>
    <xf numFmtId="2" fontId="14" fillId="0" borderId="0" xfId="0" applyNumberFormat="1" applyFont="1"/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5" xfId="0" applyBorder="1"/>
    <xf numFmtId="10" fontId="0" fillId="0" borderId="0" xfId="6" applyNumberFormat="1" applyFont="1"/>
    <xf numFmtId="10" fontId="0" fillId="0" borderId="5" xfId="6" applyNumberFormat="1" applyFont="1" applyBorder="1"/>
    <xf numFmtId="0" fontId="0" fillId="0" borderId="0" xfId="0" applyAlignment="1">
      <alignment horizontal="right"/>
    </xf>
    <xf numFmtId="2" fontId="18" fillId="0" borderId="0" xfId="0" applyNumberFormat="1" applyFont="1"/>
    <xf numFmtId="170" fontId="0" fillId="0" borderId="0" xfId="1" applyNumberFormat="1" applyFont="1"/>
    <xf numFmtId="0" fontId="2" fillId="0" borderId="0" xfId="0" applyFont="1" applyAlignment="1">
      <alignment horizontal="right"/>
    </xf>
    <xf numFmtId="0" fontId="0" fillId="0" borderId="7" xfId="0" applyBorder="1"/>
    <xf numFmtId="0" fontId="2" fillId="9" borderId="7" xfId="0" applyFont="1" applyFill="1" applyBorder="1" applyAlignment="1">
      <alignment horizontal="right"/>
    </xf>
    <xf numFmtId="0" fontId="0" fillId="0" borderId="8" xfId="0" applyBorder="1"/>
    <xf numFmtId="10" fontId="0" fillId="9" borderId="8" xfId="6" applyNumberFormat="1" applyFont="1" applyFill="1" applyBorder="1"/>
    <xf numFmtId="43" fontId="0" fillId="0" borderId="6" xfId="0" applyNumberFormat="1" applyBorder="1"/>
    <xf numFmtId="10" fontId="0" fillId="0" borderId="0" xfId="6" applyNumberFormat="1" applyFont="1" applyAlignment="1">
      <alignment horizontal="right"/>
    </xf>
    <xf numFmtId="10" fontId="0" fillId="0" borderId="6" xfId="6" applyNumberFormat="1" applyFont="1" applyBorder="1" applyAlignment="1">
      <alignment horizontal="right"/>
    </xf>
    <xf numFmtId="43" fontId="0" fillId="0" borderId="5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2" fontId="14" fillId="0" borderId="8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/>
    <xf numFmtId="2" fontId="0" fillId="0" borderId="5" xfId="0" applyNumberFormat="1" applyBorder="1" applyAlignment="1">
      <alignment horizontal="center"/>
    </xf>
    <xf numFmtId="0" fontId="2" fillId="0" borderId="6" xfId="0" applyFont="1" applyBorder="1"/>
    <xf numFmtId="2" fontId="0" fillId="0" borderId="6" xfId="0" applyNumberFormat="1" applyBorder="1" applyAlignment="1">
      <alignment horizontal="center"/>
    </xf>
    <xf numFmtId="10" fontId="0" fillId="0" borderId="5" xfId="0" applyNumberFormat="1" applyBorder="1"/>
    <xf numFmtId="0" fontId="0" fillId="0" borderId="6" xfId="0" applyBorder="1"/>
    <xf numFmtId="10" fontId="0" fillId="0" borderId="6" xfId="0" applyNumberFormat="1" applyBorder="1"/>
    <xf numFmtId="0" fontId="2" fillId="0" borderId="11" xfId="0" applyFont="1" applyBorder="1"/>
    <xf numFmtId="10" fontId="2" fillId="0" borderId="0" xfId="6" applyNumberFormat="1" applyFont="1"/>
    <xf numFmtId="10" fontId="2" fillId="0" borderId="5" xfId="6" applyNumberFormat="1" applyFont="1" applyBorder="1"/>
    <xf numFmtId="10" fontId="0" fillId="9" borderId="5" xfId="6" applyNumberFormat="1" applyFont="1" applyFill="1" applyBorder="1"/>
    <xf numFmtId="43" fontId="2" fillId="9" borderId="5" xfId="1" applyFont="1" applyFill="1" applyBorder="1" applyAlignment="1"/>
    <xf numFmtId="10" fontId="2" fillId="9" borderId="11" xfId="6" applyNumberFormat="1" applyFont="1" applyFill="1" applyBorder="1" applyAlignment="1"/>
    <xf numFmtId="0" fontId="19" fillId="8" borderId="0" xfId="0" applyFont="1" applyFill="1" applyAlignment="1">
      <alignment horizontal="center" vertical="center"/>
    </xf>
    <xf numFmtId="0" fontId="15" fillId="8" borderId="0" xfId="7" applyFont="1" applyFill="1"/>
    <xf numFmtId="2" fontId="0" fillId="0" borderId="0" xfId="6" applyNumberFormat="1" applyFont="1" applyAlignment="1"/>
    <xf numFmtId="2" fontId="0" fillId="0" borderId="6" xfId="6" applyNumberFormat="1" applyFont="1" applyBorder="1" applyAlignment="1"/>
    <xf numFmtId="17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169" fontId="3" fillId="6" borderId="0" xfId="0" applyNumberFormat="1" applyFont="1" applyFill="1" applyAlignment="1">
      <alignment horizontal="right"/>
    </xf>
    <xf numFmtId="43" fontId="5" fillId="0" borderId="0" xfId="2" applyNumberFormat="1" applyBorder="1" applyAlignment="1" applyProtection="1">
      <alignment horizontal="center"/>
    </xf>
    <xf numFmtId="43" fontId="3" fillId="4" borderId="0" xfId="5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9" fillId="6" borderId="1" xfId="0" applyFont="1" applyFill="1" applyBorder="1" applyAlignment="1">
      <alignment horizontal="center" vertical="center"/>
    </xf>
    <xf numFmtId="10" fontId="2" fillId="9" borderId="5" xfId="6" applyNumberFormat="1" applyFont="1" applyFill="1" applyBorder="1" applyAlignment="1"/>
    <xf numFmtId="0" fontId="15" fillId="6" borderId="1" xfId="7" applyFont="1" applyFill="1" applyBorder="1" applyAlignment="1">
      <alignment horizontal="left"/>
    </xf>
    <xf numFmtId="0" fontId="15" fillId="6" borderId="1" xfId="7" applyFont="1" applyFill="1" applyBorder="1"/>
    <xf numFmtId="10" fontId="14" fillId="0" borderId="0" xfId="6" applyNumberFormat="1" applyFont="1" applyAlignment="1"/>
    <xf numFmtId="10" fontId="0" fillId="0" borderId="6" xfId="6" applyNumberFormat="1" applyFont="1" applyBorder="1" applyAlignment="1"/>
    <xf numFmtId="0" fontId="2" fillId="0" borderId="12" xfId="0" applyFont="1" applyBorder="1"/>
    <xf numFmtId="0" fontId="0" fillId="0" borderId="12" xfId="0" applyBorder="1"/>
    <xf numFmtId="171" fontId="2" fillId="0" borderId="0" xfId="0" applyNumberFormat="1" applyFont="1"/>
    <xf numFmtId="171" fontId="0" fillId="0" borderId="0" xfId="0" applyNumberFormat="1" applyFont="1"/>
    <xf numFmtId="171" fontId="0" fillId="0" borderId="0" xfId="0" applyNumberFormat="1"/>
    <xf numFmtId="0" fontId="2" fillId="0" borderId="0" xfId="0" applyFont="1" applyBorder="1"/>
    <xf numFmtId="166" fontId="2" fillId="0" borderId="0" xfId="0" applyNumberFormat="1" applyFont="1" applyBorder="1"/>
    <xf numFmtId="171" fontId="2" fillId="0" borderId="12" xfId="0" applyNumberFormat="1" applyFont="1" applyBorder="1"/>
    <xf numFmtId="0" fontId="0" fillId="0" borderId="13" xfId="0" applyBorder="1"/>
    <xf numFmtId="0" fontId="2" fillId="0" borderId="13" xfId="0" applyFont="1" applyBorder="1"/>
    <xf numFmtId="171" fontId="2" fillId="0" borderId="13" xfId="0" applyNumberFormat="1" applyFont="1" applyBorder="1"/>
    <xf numFmtId="0" fontId="20" fillId="10" borderId="1" xfId="7" applyFont="1" applyFill="1" applyBorder="1" applyAlignment="1">
      <alignment horizontal="left" vertical="center"/>
    </xf>
    <xf numFmtId="17" fontId="3" fillId="6" borderId="0" xfId="0" applyNumberFormat="1" applyFont="1" applyFill="1"/>
    <xf numFmtId="0" fontId="0" fillId="0" borderId="15" xfId="0" applyBorder="1"/>
    <xf numFmtId="0" fontId="0" fillId="0" borderId="0" xfId="0" applyBorder="1"/>
    <xf numFmtId="0" fontId="0" fillId="0" borderId="16" xfId="0" applyBorder="1"/>
    <xf numFmtId="3" fontId="0" fillId="0" borderId="16" xfId="0" applyNumberFormat="1" applyBorder="1"/>
    <xf numFmtId="0" fontId="2" fillId="0" borderId="17" xfId="0" applyFont="1" applyBorder="1"/>
    <xf numFmtId="3" fontId="2" fillId="0" borderId="17" xfId="0" applyNumberFormat="1" applyFont="1" applyBorder="1"/>
    <xf numFmtId="3" fontId="0" fillId="0" borderId="0" xfId="0" applyNumberFormat="1" applyBorder="1"/>
    <xf numFmtId="0" fontId="2" fillId="0" borderId="15" xfId="0" applyFont="1" applyBorder="1"/>
    <xf numFmtId="0" fontId="2" fillId="0" borderId="18" xfId="0" applyFont="1" applyBorder="1"/>
    <xf numFmtId="3" fontId="2" fillId="0" borderId="18" xfId="0" applyNumberFormat="1" applyFont="1" applyBorder="1"/>
    <xf numFmtId="0" fontId="2" fillId="0" borderId="19" xfId="0" applyFont="1" applyBorder="1"/>
    <xf numFmtId="3" fontId="2" fillId="0" borderId="19" xfId="0" applyNumberFormat="1" applyFont="1" applyBorder="1"/>
    <xf numFmtId="0" fontId="2" fillId="0" borderId="4" xfId="0" applyFont="1" applyBorder="1"/>
    <xf numFmtId="3" fontId="2" fillId="0" borderId="4" xfId="0" applyNumberFormat="1" applyFont="1" applyBorder="1"/>
    <xf numFmtId="0" fontId="2" fillId="0" borderId="20" xfId="0" applyFont="1" applyBorder="1"/>
    <xf numFmtId="3" fontId="2" fillId="0" borderId="20" xfId="0" applyNumberFormat="1" applyFont="1" applyBorder="1"/>
    <xf numFmtId="3" fontId="0" fillId="0" borderId="15" xfId="0" applyNumberFormat="1" applyBorder="1"/>
    <xf numFmtId="0" fontId="2" fillId="0" borderId="21" xfId="0" applyFont="1" applyBorder="1"/>
    <xf numFmtId="0" fontId="2" fillId="0" borderId="22" xfId="0" applyFont="1" applyBorder="1"/>
    <xf numFmtId="0" fontId="0" fillId="0" borderId="22" xfId="0" applyBorder="1"/>
    <xf numFmtId="0" fontId="2" fillId="0" borderId="23" xfId="0" applyFont="1" applyBorder="1"/>
    <xf numFmtId="0" fontId="2" fillId="0" borderId="7" xfId="0" applyFont="1" applyBorder="1"/>
    <xf numFmtId="0" fontId="2" fillId="0" borderId="8" xfId="0" applyFont="1" applyBorder="1"/>
    <xf numFmtId="171" fontId="0" fillId="0" borderId="2" xfId="0" applyNumberFormat="1" applyBorder="1"/>
    <xf numFmtId="171" fontId="0" fillId="0" borderId="5" xfId="0" applyNumberFormat="1" applyBorder="1"/>
    <xf numFmtId="171" fontId="0" fillId="0" borderId="23" xfId="0" applyNumberFormat="1" applyBorder="1"/>
    <xf numFmtId="171" fontId="0" fillId="0" borderId="7" xfId="0" applyNumberFormat="1" applyBorder="1"/>
    <xf numFmtId="171" fontId="0" fillId="0" borderId="8" xfId="0" applyNumberFormat="1" applyBorder="1"/>
    <xf numFmtId="171" fontId="0" fillId="0" borderId="22" xfId="0" applyNumberFormat="1" applyBorder="1"/>
    <xf numFmtId="0" fontId="0" fillId="0" borderId="3" xfId="0" applyNumberFormat="1" applyBorder="1"/>
    <xf numFmtId="0" fontId="2" fillId="0" borderId="3" xfId="0" applyNumberFormat="1" applyFont="1" applyFill="1" applyBorder="1"/>
    <xf numFmtId="10" fontId="14" fillId="0" borderId="0" xfId="0" applyNumberFormat="1" applyFont="1" applyBorder="1"/>
    <xf numFmtId="0" fontId="2" fillId="11" borderId="1" xfId="0" applyFont="1" applyFill="1" applyBorder="1" applyAlignment="1">
      <alignment horizontal="left"/>
    </xf>
    <xf numFmtId="171" fontId="0" fillId="0" borderId="0" xfId="0" applyNumberFormat="1" applyBorder="1"/>
    <xf numFmtId="166" fontId="0" fillId="0" borderId="8" xfId="0" applyNumberFormat="1" applyBorder="1"/>
    <xf numFmtId="166" fontId="0" fillId="0" borderId="0" xfId="0" applyNumberFormat="1" applyBorder="1"/>
    <xf numFmtId="0" fontId="0" fillId="0" borderId="22" xfId="0" applyFill="1" applyBorder="1"/>
    <xf numFmtId="43" fontId="0" fillId="0" borderId="0" xfId="1" applyFont="1"/>
    <xf numFmtId="0" fontId="2" fillId="0" borderId="13" xfId="0" applyNumberFormat="1" applyFont="1" applyBorder="1"/>
    <xf numFmtId="10" fontId="2" fillId="0" borderId="13" xfId="6" applyNumberFormat="1" applyFont="1" applyBorder="1"/>
    <xf numFmtId="171" fontId="0" fillId="0" borderId="12" xfId="0" applyNumberFormat="1" applyBorder="1"/>
    <xf numFmtId="10" fontId="0" fillId="9" borderId="0" xfId="0" applyNumberFormat="1" applyFill="1"/>
    <xf numFmtId="0" fontId="2" fillId="9" borderId="0" xfId="0" applyFont="1" applyFill="1"/>
    <xf numFmtId="10" fontId="0" fillId="0" borderId="2" xfId="6" applyNumberFormat="1" applyFont="1" applyBorder="1"/>
    <xf numFmtId="0" fontId="21" fillId="6" borderId="0" xfId="0" applyFont="1" applyFill="1" applyAlignment="1">
      <alignment horizontal="center" vertical="center"/>
    </xf>
    <xf numFmtId="10" fontId="10" fillId="0" borderId="6" xfId="0" applyNumberFormat="1" applyFont="1" applyBorder="1"/>
    <xf numFmtId="181" fontId="0" fillId="0" borderId="0" xfId="0" applyNumberFormat="1"/>
    <xf numFmtId="0" fontId="20" fillId="0" borderId="22" xfId="0" applyFont="1" applyBorder="1"/>
    <xf numFmtId="43" fontId="2" fillId="0" borderId="22" xfId="0" applyNumberFormat="1" applyFont="1" applyBorder="1"/>
    <xf numFmtId="0" fontId="0" fillId="0" borderId="3" xfId="0" applyBorder="1"/>
    <xf numFmtId="182" fontId="2" fillId="0" borderId="3" xfId="1" applyNumberFormat="1" applyFont="1" applyBorder="1"/>
    <xf numFmtId="182" fontId="2" fillId="0" borderId="5" xfId="1" applyNumberFormat="1" applyFont="1" applyBorder="1"/>
    <xf numFmtId="185" fontId="2" fillId="0" borderId="6" xfId="0" applyNumberFormat="1" applyFont="1" applyBorder="1"/>
    <xf numFmtId="0" fontId="0" fillId="9" borderId="5" xfId="0" applyFill="1" applyBorder="1"/>
    <xf numFmtId="0" fontId="0" fillId="9" borderId="0" xfId="0" applyFill="1" applyBorder="1"/>
    <xf numFmtId="0" fontId="2" fillId="9" borderId="6" xfId="0" applyFont="1" applyFill="1" applyBorder="1"/>
    <xf numFmtId="10" fontId="0" fillId="0" borderId="6" xfId="6" applyNumberFormat="1" applyFont="1" applyBorder="1"/>
    <xf numFmtId="10" fontId="14" fillId="0" borderId="2" xfId="0" applyNumberFormat="1" applyFont="1" applyBorder="1"/>
    <xf numFmtId="43" fontId="0" fillId="0" borderId="2" xfId="1" applyFont="1" applyBorder="1"/>
    <xf numFmtId="2" fontId="0" fillId="0" borderId="2" xfId="6" applyNumberFormat="1" applyFont="1" applyBorder="1"/>
    <xf numFmtId="43" fontId="0" fillId="0" borderId="2" xfId="0" applyNumberFormat="1" applyBorder="1"/>
    <xf numFmtId="0" fontId="14" fillId="0" borderId="2" xfId="0" applyFont="1" applyBorder="1"/>
    <xf numFmtId="170" fontId="0" fillId="0" borderId="12" xfId="1" applyNumberFormat="1" applyFont="1" applyBorder="1"/>
    <xf numFmtId="0" fontId="0" fillId="12" borderId="2" xfId="0" applyFill="1" applyBorder="1"/>
    <xf numFmtId="10" fontId="14" fillId="12" borderId="2" xfId="0" applyNumberFormat="1" applyFont="1" applyFill="1" applyBorder="1"/>
    <xf numFmtId="43" fontId="0" fillId="12" borderId="2" xfId="1" applyFont="1" applyFill="1" applyBorder="1"/>
    <xf numFmtId="2" fontId="0" fillId="12" borderId="2" xfId="6" applyNumberFormat="1" applyFont="1" applyFill="1" applyBorder="1"/>
    <xf numFmtId="43" fontId="0" fillId="12" borderId="2" xfId="0" applyNumberFormat="1" applyFill="1" applyBorder="1"/>
    <xf numFmtId="0" fontId="0" fillId="12" borderId="12" xfId="0" applyFill="1" applyBorder="1"/>
    <xf numFmtId="0" fontId="2" fillId="12" borderId="3" xfId="0" applyFont="1" applyFill="1" applyBorder="1"/>
    <xf numFmtId="10" fontId="0" fillId="0" borderId="12" xfId="0" applyNumberFormat="1" applyBorder="1"/>
    <xf numFmtId="43" fontId="0" fillId="0" borderId="12" xfId="0" applyNumberFormat="1" applyBorder="1"/>
    <xf numFmtId="0" fontId="23" fillId="0" borderId="14" xfId="0" applyFont="1" applyBorder="1" applyAlignment="1">
      <alignment horizontal="center"/>
    </xf>
    <xf numFmtId="0" fontId="21" fillId="6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left"/>
    </xf>
    <xf numFmtId="0" fontId="15" fillId="6" borderId="1" xfId="0" applyFont="1" applyFill="1" applyBorder="1" applyAlignment="1">
      <alignment horizontal="left"/>
    </xf>
    <xf numFmtId="0" fontId="3" fillId="6" borderId="1" xfId="0" applyFont="1" applyFill="1" applyBorder="1"/>
    <xf numFmtId="179" fontId="3" fillId="6" borderId="1" xfId="0" applyNumberFormat="1" applyFont="1" applyFill="1" applyBorder="1"/>
    <xf numFmtId="17" fontId="3" fillId="6" borderId="1" xfId="0" applyNumberFormat="1" applyFont="1" applyFill="1" applyBorder="1"/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Normal 2" xfId="7" xr:uid="{B9254BD2-3787-4153-BE2A-64ADBE0AE294}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25"/>
  <sheetViews>
    <sheetView zoomScale="120" zoomScaleNormal="120" zoomScaleSheetLayoutView="100" zoomScalePageLayoutView="120" workbookViewId="0">
      <pane xSplit="1" ySplit="4" topLeftCell="H5" activePane="bottomRight" state="frozen"/>
      <selection activeCell="I73" sqref="I73"/>
      <selection pane="topRight" activeCell="I73" sqref="I73"/>
      <selection pane="bottomLeft" activeCell="I73" sqref="I73"/>
      <selection pane="bottomRight" activeCell="I73" sqref="I73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20" s="2" customFormat="1" x14ac:dyDescent="0.25">
      <c r="A1" s="2" t="str">
        <f>'Data Sheet'!B1</f>
        <v>TRENT LTD</v>
      </c>
      <c r="H1" t="str">
        <f>UPDATE</f>
        <v/>
      </c>
      <c r="J1" s="3"/>
      <c r="K1" s="3"/>
      <c r="M1" s="2" t="s">
        <v>1</v>
      </c>
    </row>
    <row r="3" spans="1:20" s="2" customFormat="1" x14ac:dyDescent="0.25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20" s="2" customFormat="1" x14ac:dyDescent="0.25">
      <c r="A4" s="2" t="s">
        <v>6</v>
      </c>
      <c r="B4" s="1">
        <f>'Data Sheet'!B17</f>
        <v>1812.44</v>
      </c>
      <c r="C4" s="1">
        <f>'Data Sheet'!C17</f>
        <v>2157.46</v>
      </c>
      <c r="D4" s="1">
        <f>'Data Sheet'!D17</f>
        <v>2630.24</v>
      </c>
      <c r="E4" s="1">
        <f>'Data Sheet'!E17</f>
        <v>3485.98</v>
      </c>
      <c r="F4" s="1">
        <f>'Data Sheet'!F17</f>
        <v>2592.96</v>
      </c>
      <c r="G4" s="1">
        <f>'Data Sheet'!G17</f>
        <v>4498.0200000000004</v>
      </c>
      <c r="H4" s="1">
        <f>'Data Sheet'!H17</f>
        <v>8242.02</v>
      </c>
      <c r="I4" s="1">
        <f>'Data Sheet'!I17</f>
        <v>12375.11</v>
      </c>
      <c r="J4" s="1">
        <f>'Data Sheet'!J17</f>
        <v>17134.61</v>
      </c>
      <c r="K4" s="1">
        <f>'Data Sheet'!K17</f>
        <v>20074.21</v>
      </c>
      <c r="L4" s="1">
        <f>SUM(Quarters!H4:K4)</f>
        <v>20074.21</v>
      </c>
      <c r="M4" s="1">
        <f>$K4+M23*K4</f>
        <v>27008.889584083699</v>
      </c>
      <c r="N4" s="1">
        <f>$K4+N23*L4</f>
        <v>23518.125427080042</v>
      </c>
    </row>
    <row r="5" spans="1:20" x14ac:dyDescent="0.25">
      <c r="A5" t="s">
        <v>7</v>
      </c>
      <c r="B5" s="6">
        <f>SUM('Data Sheet'!B18,'Data Sheet'!B20:B24, -1*'Data Sheet'!B19)</f>
        <v>1678.91</v>
      </c>
      <c r="C5" s="6">
        <f>SUM('Data Sheet'!C18,'Data Sheet'!C20:C24, -1*'Data Sheet'!C19)</f>
        <v>1948.9599999999998</v>
      </c>
      <c r="D5" s="6">
        <f>SUM('Data Sheet'!D18,'Data Sheet'!D20:D24, -1*'Data Sheet'!D19)</f>
        <v>2389.6</v>
      </c>
      <c r="E5" s="6">
        <f>SUM('Data Sheet'!E18,'Data Sheet'!E20:E24, -1*'Data Sheet'!E19)</f>
        <v>2957.0100000000007</v>
      </c>
      <c r="F5" s="6">
        <f>SUM('Data Sheet'!F18,'Data Sheet'!F20:F24, -1*'Data Sheet'!F19)</f>
        <v>2479.09</v>
      </c>
      <c r="G5" s="6">
        <f>SUM('Data Sheet'!G18,'Data Sheet'!G20:G24, -1*'Data Sheet'!G19)</f>
        <v>3903.2999999999993</v>
      </c>
      <c r="H5" s="6">
        <f>SUM('Data Sheet'!H18,'Data Sheet'!H20:H24, -1*'Data Sheet'!H19)</f>
        <v>7127.869999999999</v>
      </c>
      <c r="I5" s="6">
        <f>SUM('Data Sheet'!I18,'Data Sheet'!I20:I24, -1*'Data Sheet'!I19)</f>
        <v>10404.42</v>
      </c>
      <c r="J5" s="6">
        <f>SUM('Data Sheet'!J18,'Data Sheet'!J20:J24, -1*'Data Sheet'!J19)</f>
        <v>14314.65</v>
      </c>
      <c r="K5" s="6">
        <f>SUM('Data Sheet'!K18,'Data Sheet'!K20:K24, -1*'Data Sheet'!K19)</f>
        <v>16400.82</v>
      </c>
      <c r="L5" s="6">
        <f>SUM(Quarters!H5:K5)</f>
        <v>16418</v>
      </c>
      <c r="M5" s="6">
        <f t="shared" ref="M5:N5" si="0">M4-M6</f>
        <v>22089.633873088216</v>
      </c>
      <c r="N5" s="6">
        <f t="shared" si="0"/>
        <v>19944.011157986482</v>
      </c>
    </row>
    <row r="6" spans="1:20" s="2" customFormat="1" x14ac:dyDescent="0.25">
      <c r="A6" s="2" t="s">
        <v>8</v>
      </c>
      <c r="B6" s="1">
        <f>B4-B5</f>
        <v>133.52999999999997</v>
      </c>
      <c r="C6" s="1">
        <f t="shared" ref="C6:K6" si="1">C4-C5</f>
        <v>208.50000000000023</v>
      </c>
      <c r="D6" s="1">
        <f t="shared" si="1"/>
        <v>240.63999999999987</v>
      </c>
      <c r="E6" s="1">
        <f t="shared" si="1"/>
        <v>528.96999999999935</v>
      </c>
      <c r="F6" s="1">
        <f t="shared" si="1"/>
        <v>113.86999999999989</v>
      </c>
      <c r="G6" s="1">
        <f t="shared" si="1"/>
        <v>594.72000000000116</v>
      </c>
      <c r="H6" s="1">
        <f t="shared" si="1"/>
        <v>1114.1500000000015</v>
      </c>
      <c r="I6" s="1">
        <f t="shared" si="1"/>
        <v>1970.6900000000005</v>
      </c>
      <c r="J6" s="1">
        <f t="shared" si="1"/>
        <v>2819.9600000000009</v>
      </c>
      <c r="K6" s="1">
        <f t="shared" si="1"/>
        <v>3673.3899999999994</v>
      </c>
      <c r="L6" s="1">
        <f>SUM(Quarters!H6:K6)</f>
        <v>3656.21</v>
      </c>
      <c r="M6" s="1">
        <f>M4*M24</f>
        <v>4919.2557109954842</v>
      </c>
      <c r="N6" s="1">
        <f>N4*N24</f>
        <v>3574.1142690935603</v>
      </c>
    </row>
    <row r="7" spans="1:20" x14ac:dyDescent="0.25">
      <c r="A7" t="s">
        <v>9</v>
      </c>
      <c r="B7" s="6">
        <f>'Data Sheet'!B25</f>
        <v>81.31</v>
      </c>
      <c r="C7" s="6">
        <f>'Data Sheet'!C25</f>
        <v>27.47</v>
      </c>
      <c r="D7" s="6">
        <f>'Data Sheet'!D25</f>
        <v>30.14</v>
      </c>
      <c r="E7" s="6">
        <f>'Data Sheet'!E25</f>
        <v>146.63</v>
      </c>
      <c r="F7" s="6">
        <f>'Data Sheet'!F25</f>
        <v>199.4</v>
      </c>
      <c r="G7" s="6">
        <f>'Data Sheet'!G25</f>
        <v>152.16</v>
      </c>
      <c r="H7" s="6">
        <f>'Data Sheet'!H25</f>
        <v>340.6</v>
      </c>
      <c r="I7" s="6">
        <f>'Data Sheet'!I25</f>
        <v>988.91</v>
      </c>
      <c r="J7" s="6">
        <f>'Data Sheet'!J25</f>
        <v>305.06</v>
      </c>
      <c r="K7" s="6">
        <f>'Data Sheet'!K25</f>
        <v>92.63</v>
      </c>
      <c r="L7" s="6">
        <f>SUM(Quarters!H7:K7)</f>
        <v>109.80999999999999</v>
      </c>
      <c r="M7" s="6">
        <v>0</v>
      </c>
      <c r="N7" s="6">
        <v>0</v>
      </c>
      <c r="S7" s="30"/>
      <c r="T7" s="30"/>
    </row>
    <row r="8" spans="1:20" x14ac:dyDescent="0.25">
      <c r="A8" t="s">
        <v>10</v>
      </c>
      <c r="B8" s="6">
        <f>'Data Sheet'!B26</f>
        <v>41.29</v>
      </c>
      <c r="C8" s="6">
        <f>'Data Sheet'!C26</f>
        <v>45.53</v>
      </c>
      <c r="D8" s="6">
        <f>'Data Sheet'!D26</f>
        <v>51.67</v>
      </c>
      <c r="E8" s="6">
        <f>'Data Sheet'!E26</f>
        <v>247.24</v>
      </c>
      <c r="F8" s="6">
        <f>'Data Sheet'!F26</f>
        <v>257.3</v>
      </c>
      <c r="G8" s="6">
        <f>'Data Sheet'!G26</f>
        <v>310.82</v>
      </c>
      <c r="H8" s="6">
        <f>'Data Sheet'!H26</f>
        <v>493.69</v>
      </c>
      <c r="I8" s="6">
        <f>'Data Sheet'!I26</f>
        <v>671.11</v>
      </c>
      <c r="J8" s="6">
        <f>'Data Sheet'!J26</f>
        <v>895.18</v>
      </c>
      <c r="K8" s="6">
        <f>'Data Sheet'!K26</f>
        <v>1361.19</v>
      </c>
      <c r="L8" s="6">
        <f>SUM(Quarters!H8:K8)</f>
        <v>1361.19</v>
      </c>
      <c r="M8" s="6">
        <f>+$L8</f>
        <v>1361.19</v>
      </c>
      <c r="N8" s="6">
        <f>+$L8</f>
        <v>1361.19</v>
      </c>
    </row>
    <row r="9" spans="1:20" x14ac:dyDescent="0.25">
      <c r="A9" t="s">
        <v>11</v>
      </c>
      <c r="B9" s="6">
        <f>'Data Sheet'!B27</f>
        <v>45.55</v>
      </c>
      <c r="C9" s="6">
        <f>'Data Sheet'!C27</f>
        <v>43.78</v>
      </c>
      <c r="D9" s="6">
        <f>'Data Sheet'!D27</f>
        <v>50.64</v>
      </c>
      <c r="E9" s="6">
        <f>'Data Sheet'!E27</f>
        <v>263.37</v>
      </c>
      <c r="F9" s="6">
        <f>'Data Sheet'!F27</f>
        <v>260.79000000000002</v>
      </c>
      <c r="G9" s="6">
        <f>'Data Sheet'!G27</f>
        <v>324.83999999999997</v>
      </c>
      <c r="H9" s="6">
        <f>'Data Sheet'!H27</f>
        <v>408.99</v>
      </c>
      <c r="I9" s="6">
        <f>'Data Sheet'!I27</f>
        <v>367.66</v>
      </c>
      <c r="J9" s="6">
        <f>'Data Sheet'!J27</f>
        <v>200.1</v>
      </c>
      <c r="K9" s="6">
        <f>'Data Sheet'!K27</f>
        <v>168.35</v>
      </c>
      <c r="L9" s="6">
        <f>SUM(Quarters!H9:K9)</f>
        <v>168.35</v>
      </c>
      <c r="M9" s="6">
        <f>+$L9</f>
        <v>168.35</v>
      </c>
      <c r="N9" s="6">
        <f>+$L9</f>
        <v>168.35</v>
      </c>
    </row>
    <row r="10" spans="1:20" x14ac:dyDescent="0.25">
      <c r="A10" t="s">
        <v>12</v>
      </c>
      <c r="B10" s="6">
        <f>'Data Sheet'!B28</f>
        <v>128</v>
      </c>
      <c r="C10" s="6">
        <f>'Data Sheet'!C28</f>
        <v>146.66</v>
      </c>
      <c r="D10" s="6">
        <f>'Data Sheet'!D28</f>
        <v>168.47</v>
      </c>
      <c r="E10" s="6">
        <f>'Data Sheet'!E28</f>
        <v>164.99</v>
      </c>
      <c r="F10" s="6">
        <f>'Data Sheet'!F28</f>
        <v>-204.82</v>
      </c>
      <c r="G10" s="6">
        <f>'Data Sheet'!G28</f>
        <v>111.22</v>
      </c>
      <c r="H10" s="6">
        <f>'Data Sheet'!H28</f>
        <v>552.07000000000005</v>
      </c>
      <c r="I10" s="6">
        <f>'Data Sheet'!I28</f>
        <v>1920.83</v>
      </c>
      <c r="J10" s="6">
        <f>'Data Sheet'!J28</f>
        <v>2029.74</v>
      </c>
      <c r="K10" s="6">
        <f>'Data Sheet'!K28</f>
        <v>2236.48</v>
      </c>
      <c r="L10" s="6">
        <f>SUM(Quarters!H10:K10)</f>
        <v>2236.48</v>
      </c>
      <c r="M10" s="6">
        <f>M6+M7-SUM(M8:M9)</f>
        <v>3389.7157109954842</v>
      </c>
      <c r="N10" s="6">
        <f>N6+N7-SUM(N8:N9)</f>
        <v>2044.5742690935604</v>
      </c>
    </row>
    <row r="11" spans="1:20" x14ac:dyDescent="0.25">
      <c r="A11" t="s">
        <v>13</v>
      </c>
      <c r="B11" s="6">
        <f>'Data Sheet'!B29</f>
        <v>43.05</v>
      </c>
      <c r="C11" s="6">
        <f>'Data Sheet'!C29</f>
        <v>59.62</v>
      </c>
      <c r="D11" s="6">
        <f>'Data Sheet'!D29</f>
        <v>73.61</v>
      </c>
      <c r="E11" s="6">
        <f>'Data Sheet'!E29</f>
        <v>59.01</v>
      </c>
      <c r="F11" s="6">
        <f>'Data Sheet'!F29</f>
        <v>-23.69</v>
      </c>
      <c r="G11" s="6">
        <f>'Data Sheet'!G29</f>
        <v>76.62</v>
      </c>
      <c r="H11" s="6">
        <f>'Data Sheet'!H29</f>
        <v>158.44</v>
      </c>
      <c r="I11" s="6">
        <f>'Data Sheet'!I29</f>
        <v>443.37</v>
      </c>
      <c r="J11" s="6">
        <f>'Data Sheet'!J29</f>
        <v>495.33</v>
      </c>
      <c r="K11" s="6">
        <f>'Data Sheet'!K29</f>
        <v>515.15</v>
      </c>
      <c r="L11" s="6">
        <f>SUM(Quarters!H11:K11)</f>
        <v>515.15</v>
      </c>
      <c r="M11" s="7">
        <f>IF($L10&gt;0,$L11/$L10,0)</f>
        <v>0.23033964086421518</v>
      </c>
      <c r="N11" s="7">
        <f>IF($L10&gt;0,$L11/$L10,0)</f>
        <v>0.23033964086421518</v>
      </c>
    </row>
    <row r="12" spans="1:20" s="2" customFormat="1" x14ac:dyDescent="0.25">
      <c r="A12" s="2" t="s">
        <v>14</v>
      </c>
      <c r="B12" s="1">
        <f>'Data Sheet'!B30</f>
        <v>84.86</v>
      </c>
      <c r="C12" s="1">
        <f>'Data Sheet'!C30</f>
        <v>86.97</v>
      </c>
      <c r="D12" s="1">
        <f>'Data Sheet'!D30</f>
        <v>96.96</v>
      </c>
      <c r="E12" s="1">
        <f>'Data Sheet'!E30</f>
        <v>122.85</v>
      </c>
      <c r="F12" s="1">
        <f>'Data Sheet'!F30</f>
        <v>-146.16999999999999</v>
      </c>
      <c r="G12" s="1">
        <f>'Data Sheet'!G30</f>
        <v>105.83</v>
      </c>
      <c r="H12" s="1">
        <f>'Data Sheet'!H30</f>
        <v>444.63</v>
      </c>
      <c r="I12" s="1">
        <f>'Data Sheet'!I30</f>
        <v>1486.8</v>
      </c>
      <c r="J12" s="1">
        <f>'Data Sheet'!J30</f>
        <v>1546.72</v>
      </c>
      <c r="K12" s="1">
        <f>'Data Sheet'!K30</f>
        <v>1719.65</v>
      </c>
      <c r="L12" s="1">
        <f>SUM(Quarters!H12:K12)</f>
        <v>1719.6499999999999</v>
      </c>
      <c r="M12" s="1">
        <f>M10-M11*M10</f>
        <v>2608.9298114929966</v>
      </c>
      <c r="N12" s="1">
        <f>N10-N11*N10</f>
        <v>1573.6277662303344</v>
      </c>
    </row>
    <row r="13" spans="1:20" x14ac:dyDescent="0.25">
      <c r="A13" t="s">
        <v>57</v>
      </c>
      <c r="B13" s="6">
        <f>IF('Data Sheet'!B93&gt;0,B12/'Data Sheet'!B93,0)</f>
        <v>2.5537165212157693</v>
      </c>
      <c r="C13" s="6">
        <f>IF('Data Sheet'!C93&gt;0,C12/'Data Sheet'!C93,0)</f>
        <v>2.6172133614204034</v>
      </c>
      <c r="D13" s="6">
        <f>IF('Data Sheet'!D93&gt;0,D12/'Data Sheet'!D93,0)</f>
        <v>2.9178453204935302</v>
      </c>
      <c r="E13" s="6">
        <f>IF('Data Sheet'!E93&gt;0,E12/'Data Sheet'!E93,0)</f>
        <v>3.4556962025316458</v>
      </c>
      <c r="F13" s="6">
        <f>IF('Data Sheet'!F93&gt;0,F12/'Data Sheet'!F93,0)</f>
        <v>-4.111673699015471</v>
      </c>
      <c r="G13" s="6">
        <f>IF('Data Sheet'!G93&gt;0,G12/'Data Sheet'!G93,0)</f>
        <v>2.9769338959212379</v>
      </c>
      <c r="H13" s="6">
        <f>IF('Data Sheet'!H93&gt;0,H12/'Data Sheet'!H93,0)</f>
        <v>12.507172995780591</v>
      </c>
      <c r="I13" s="6">
        <f>IF('Data Sheet'!I93&gt;0,I12/'Data Sheet'!I93,0)</f>
        <v>41.822784810126585</v>
      </c>
      <c r="J13" s="6">
        <f>IF('Data Sheet'!J93&gt;0,J12/'Data Sheet'!J93,0)</f>
        <v>43.508298171589317</v>
      </c>
      <c r="K13" s="6">
        <f>IF('Data Sheet'!K93&gt;0,K12/'Data Sheet'!K93,0)</f>
        <v>48.372714486638543</v>
      </c>
      <c r="L13" s="6">
        <f>IF('Data Sheet'!$B6&gt;0,'Profit &amp; Loss'!L12/'Data Sheet'!$B6,0)</f>
        <v>48.374419650803013</v>
      </c>
      <c r="M13" s="6">
        <f>IF('Data Sheet'!$B6&gt;0,'Profit &amp; Loss'!M12/'Data Sheet'!$B6,0)</f>
        <v>73.390204716455443</v>
      </c>
      <c r="N13" s="6">
        <f>IF('Data Sheet'!$B6&gt;0,'Profit &amp; Loss'!N12/'Data Sheet'!$B6,0)</f>
        <v>44.266757734295894</v>
      </c>
    </row>
    <row r="14" spans="1:20" x14ac:dyDescent="0.25">
      <c r="A14" t="s">
        <v>16</v>
      </c>
      <c r="B14" s="6">
        <f>IF(B15&gt;0,B15/B13,"")</f>
        <v>104.4360240395946</v>
      </c>
      <c r="C14" s="6">
        <f t="shared" ref="C14:K14" si="2">IF(C15&gt;0,C15/C13,"")</f>
        <v>131.83869725192594</v>
      </c>
      <c r="D14" s="6">
        <f t="shared" si="2"/>
        <v>124.02987830033001</v>
      </c>
      <c r="E14" s="6">
        <f t="shared" si="2"/>
        <v>140.15989010989011</v>
      </c>
      <c r="F14" s="6">
        <f t="shared" si="2"/>
        <v>-182.66284121228705</v>
      </c>
      <c r="G14" s="6">
        <f t="shared" si="2"/>
        <v>428.46097514882354</v>
      </c>
      <c r="H14" s="6">
        <f t="shared" si="2"/>
        <v>109.93291613251468</v>
      </c>
      <c r="I14" s="6">
        <f t="shared" si="2"/>
        <v>94.398305084745758</v>
      </c>
      <c r="J14" s="6">
        <f t="shared" si="2"/>
        <v>122.39389320626873</v>
      </c>
      <c r="K14" s="6">
        <f t="shared" si="2"/>
        <v>68.133451574448287</v>
      </c>
      <c r="L14" s="6">
        <f t="shared" ref="L14" si="3">IF(L13&gt;0,L15/L13,0)</f>
        <v>88.834140668159208</v>
      </c>
      <c r="M14" s="6">
        <f>M25</f>
        <v>93.439947633405495</v>
      </c>
      <c r="N14" s="6">
        <f>N25</f>
        <v>88.834140668159208</v>
      </c>
    </row>
    <row r="15" spans="1:20" s="2" customFormat="1" x14ac:dyDescent="0.25">
      <c r="A15" s="2" t="s">
        <v>58</v>
      </c>
      <c r="B15" s="1">
        <f>'Data Sheet'!B90</f>
        <v>266.7</v>
      </c>
      <c r="C15" s="1">
        <f>'Data Sheet'!C90</f>
        <v>345.05</v>
      </c>
      <c r="D15" s="1">
        <f>'Data Sheet'!D90</f>
        <v>361.9</v>
      </c>
      <c r="E15" s="1">
        <f>'Data Sheet'!E90</f>
        <v>484.35</v>
      </c>
      <c r="F15" s="1">
        <f>'Data Sheet'!F90</f>
        <v>751.05</v>
      </c>
      <c r="G15" s="1">
        <f>'Data Sheet'!G90</f>
        <v>1275.5</v>
      </c>
      <c r="H15" s="1">
        <f>'Data Sheet'!H90</f>
        <v>1374.95</v>
      </c>
      <c r="I15" s="1">
        <f>'Data Sheet'!I90</f>
        <v>3948</v>
      </c>
      <c r="J15" s="1">
        <f>'Data Sheet'!J90</f>
        <v>5325.15</v>
      </c>
      <c r="K15" s="1">
        <f>'Data Sheet'!K90</f>
        <v>3295.8</v>
      </c>
      <c r="L15" s="1">
        <f>'Data Sheet'!B8</f>
        <v>4297.3</v>
      </c>
      <c r="M15" s="8">
        <f>M13*M14</f>
        <v>6857.5768855105052</v>
      </c>
      <c r="N15" s="9">
        <f>N13*N14</f>
        <v>3932.399383491766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0.3915861418807447</v>
      </c>
      <c r="C18" s="5">
        <f>IF('Data Sheet'!C30&gt;0, 'Data Sheet'!C31/'Data Sheet'!C30, 0)</f>
        <v>0.43934690123030934</v>
      </c>
      <c r="D18" s="5">
        <f>IF('Data Sheet'!D30&gt;0, 'Data Sheet'!D31/'Data Sheet'!D30, 0)</f>
        <v>0.44554455445544561</v>
      </c>
      <c r="E18" s="5">
        <f>IF('Data Sheet'!E30&gt;0, 'Data Sheet'!E31/'Data Sheet'!E30, 0)</f>
        <v>0.28937728937728935</v>
      </c>
      <c r="F18" s="5">
        <f>IF('Data Sheet'!F30&gt;0, 'Data Sheet'!F31/'Data Sheet'!F30, 0)</f>
        <v>0</v>
      </c>
      <c r="G18" s="5">
        <f>IF('Data Sheet'!G30&gt;0, 'Data Sheet'!G31/'Data Sheet'!G30, 0)</f>
        <v>0.5711046017197392</v>
      </c>
      <c r="H18" s="5">
        <f>IF('Data Sheet'!H30&gt;0, 'Data Sheet'!H31/'Data Sheet'!H30, 0)</f>
        <v>0.1758990621415559</v>
      </c>
      <c r="I18" s="5">
        <f>IF('Data Sheet'!I30&gt;0, 'Data Sheet'!I31/'Data Sheet'!I30, 0)</f>
        <v>7.6513317191283292E-2</v>
      </c>
      <c r="J18" s="5">
        <f>IF('Data Sheet'!J30&gt;0, 'Data Sheet'!J31/'Data Sheet'!J30, 0)</f>
        <v>0.11492060618599359</v>
      </c>
      <c r="K18" s="5">
        <f>IF('Data Sheet'!K30&gt;0, 'Data Sheet'!K31/'Data Sheet'!K30, 0)</f>
        <v>0.12403686796731893</v>
      </c>
    </row>
    <row r="19" spans="1:14" x14ac:dyDescent="0.25">
      <c r="A19" t="s">
        <v>18</v>
      </c>
      <c r="B19" s="5">
        <f t="shared" ref="B19:L19" si="4">IF(B6&gt;0,B6/B4,0)</f>
        <v>7.3674163006775373E-2</v>
      </c>
      <c r="C19" s="5">
        <f t="shared" ref="C19:K19" si="5">IF(C6&gt;0,C6/C4,0)</f>
        <v>9.664142093016799E-2</v>
      </c>
      <c r="D19" s="5">
        <f t="shared" si="5"/>
        <v>9.1489749984792215E-2</v>
      </c>
      <c r="E19" s="5">
        <f t="shared" si="5"/>
        <v>0.15174212129731077</v>
      </c>
      <c r="F19" s="5">
        <f t="shared" si="5"/>
        <v>4.3915062322596524E-2</v>
      </c>
      <c r="G19" s="5">
        <f t="shared" si="5"/>
        <v>0.13221817599743912</v>
      </c>
      <c r="H19" s="5">
        <f t="shared" si="5"/>
        <v>0.13517924004066981</v>
      </c>
      <c r="I19" s="5">
        <f t="shared" si="5"/>
        <v>0.15924626124535463</v>
      </c>
      <c r="J19" s="5">
        <f t="shared" si="5"/>
        <v>0.16457684184232971</v>
      </c>
      <c r="K19" s="5">
        <f t="shared" si="5"/>
        <v>0.18299051369892014</v>
      </c>
      <c r="L19" s="5">
        <f t="shared" si="4"/>
        <v>0.18213468923559134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0.30629615096168794</v>
      </c>
      <c r="I23" s="5">
        <f>IF(D4=0,"",POWER($K4/D4,1/7)-1)</f>
        <v>0.33687828563586386</v>
      </c>
      <c r="J23" s="5">
        <f>IF(F4=0,"",POWER($K4/F4,1/5)-1)</f>
        <v>0.50580428676887657</v>
      </c>
      <c r="K23" s="5">
        <f>IF(H4=0,"",POWER($K4/H4, 1/3)-1)</f>
        <v>0.34545217889439739</v>
      </c>
      <c r="L23" s="5">
        <f>IF(ISERROR(MAX(IF(J4=0,"",(K4-J4)/J4),IF(K4=0,"",(L4-K4)/K4))),"",MAX(IF(J4=0,"",(K4-J4)/J4),IF(K4=0,"",(L4-K4)/K4)))</f>
        <v>0.17155920093891827</v>
      </c>
      <c r="M23" s="16">
        <f>MAX(K23:L23)</f>
        <v>0.34545217889439739</v>
      </c>
      <c r="N23" s="16">
        <f>MIN(H23:L23)</f>
        <v>0.17155920093891827</v>
      </c>
    </row>
    <row r="24" spans="1:14" x14ac:dyDescent="0.25">
      <c r="G24" t="s">
        <v>18</v>
      </c>
      <c r="H24" s="5">
        <f>IF(SUM(B4:$K$4)=0,"",SUMPRODUCT(B19:$K$19,B4:$K$4)/SUM(B4:$K$4))</f>
        <v>0.15197275310804031</v>
      </c>
      <c r="I24" s="5">
        <f>IF(SUM(E4:$K$4)=0,"",SUMPRODUCT(E19:$K$19,E4:$K$4)/SUM(E4:$K$4))</f>
        <v>0.15811827303838394</v>
      </c>
      <c r="J24" s="5">
        <f>IF(SUM(G4:$K$4)=0,"",SUMPRODUCT(G19:$K$19,G4:$K$4)/SUM(G4:$K$4))</f>
        <v>0.16322628356312993</v>
      </c>
      <c r="K24" s="5">
        <f>IF(SUM(I4:$K$4)=0, "", SUMPRODUCT(I19:$K$19,I4:$K$4)/SUM(I4:$K$4))</f>
        <v>0.17070127357795159</v>
      </c>
      <c r="L24" s="5">
        <f>L19</f>
        <v>0.18213468923559134</v>
      </c>
      <c r="M24" s="16">
        <f>MAX(K24:L24)</f>
        <v>0.18213468923559134</v>
      </c>
      <c r="N24" s="16">
        <f>MIN(H24:L24)</f>
        <v>0.15197275310804031</v>
      </c>
    </row>
    <row r="25" spans="1:14" x14ac:dyDescent="0.25">
      <c r="G25" t="s">
        <v>23</v>
      </c>
      <c r="H25" s="6">
        <f>IF(ISERROR(AVERAGEIF(B14:$L14,"&gt;0")),"",AVERAGEIF(B14:$L14,"&gt;0"))</f>
        <v>141.2618171516701</v>
      </c>
      <c r="I25" s="6">
        <f>IF(ISERROR(AVERAGEIF(E14:$L14,"&gt;0")),"",AVERAGEIF(E14:$L14,"&gt;0"))</f>
        <v>150.33051027497862</v>
      </c>
      <c r="J25" s="6">
        <f>IF(ISERROR(AVERAGEIF(G14:$L14,"&gt;0")),"",AVERAGEIF(G14:$L14,"&gt;0"))</f>
        <v>152.02561363582672</v>
      </c>
      <c r="K25" s="6">
        <f>IF(ISERROR(AVERAGEIF(I14:$L14,"&gt;0")),"",AVERAGEIF(I14:$L14,"&gt;0"))</f>
        <v>93.439947633405495</v>
      </c>
      <c r="L25" s="6">
        <f>L14</f>
        <v>88.834140668159208</v>
      </c>
      <c r="M25" s="1">
        <f>MAX(K25:L25)</f>
        <v>93.439947633405495</v>
      </c>
      <c r="N25" s="1">
        <f>MIN(H25:L25)</f>
        <v>88.834140668159208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activeCell="I73" sqref="I73"/>
      <selection pane="topRight" activeCell="I73" sqref="I73"/>
      <selection pane="bottomLeft" activeCell="I73" sqref="I73"/>
      <selection pane="bottomRight" activeCell="I73" sqref="I73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TRENT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25">
      <c r="A4" s="2" t="s">
        <v>6</v>
      </c>
      <c r="B4" s="1">
        <f>'Data Sheet'!B42</f>
        <v>3466.62</v>
      </c>
      <c r="C4" s="1">
        <f>'Data Sheet'!C42</f>
        <v>3297.7</v>
      </c>
      <c r="D4" s="1">
        <f>'Data Sheet'!D42</f>
        <v>4104.4399999999996</v>
      </c>
      <c r="E4" s="1">
        <f>'Data Sheet'!E42</f>
        <v>4156.67</v>
      </c>
      <c r="F4" s="1">
        <f>'Data Sheet'!F42</f>
        <v>4656.5600000000004</v>
      </c>
      <c r="G4" s="1">
        <f>'Data Sheet'!G42</f>
        <v>4216.9399999999996</v>
      </c>
      <c r="H4" s="1">
        <f>'Data Sheet'!H42</f>
        <v>4883.4799999999996</v>
      </c>
      <c r="I4" s="1">
        <f>'Data Sheet'!I42</f>
        <v>4817.68</v>
      </c>
      <c r="J4" s="1">
        <f>'Data Sheet'!J42</f>
        <v>5345.06</v>
      </c>
      <c r="K4" s="1">
        <f>'Data Sheet'!K42</f>
        <v>5027.99</v>
      </c>
    </row>
    <row r="5" spans="1:11" x14ac:dyDescent="0.25">
      <c r="A5" t="s">
        <v>7</v>
      </c>
      <c r="B5" s="6">
        <f>'Data Sheet'!B43</f>
        <v>2838.1</v>
      </c>
      <c r="C5" s="6">
        <f>'Data Sheet'!C43</f>
        <v>2828.06</v>
      </c>
      <c r="D5" s="6">
        <f>'Data Sheet'!D43</f>
        <v>3491.09</v>
      </c>
      <c r="E5" s="6">
        <f>'Data Sheet'!E43</f>
        <v>3510.95</v>
      </c>
      <c r="F5" s="6">
        <f>'Data Sheet'!F43</f>
        <v>3809.19</v>
      </c>
      <c r="G5" s="6">
        <f>'Data Sheet'!G43</f>
        <v>3566.03</v>
      </c>
      <c r="H5" s="6">
        <f>'Data Sheet'!H43</f>
        <v>4035.62</v>
      </c>
      <c r="I5" s="6">
        <f>'Data Sheet'!I43</f>
        <v>4001.7</v>
      </c>
      <c r="J5" s="6">
        <f>'Data Sheet'!J43</f>
        <v>4263.99</v>
      </c>
      <c r="K5" s="6">
        <f>'Data Sheet'!K43</f>
        <v>4116.6899999999996</v>
      </c>
    </row>
    <row r="6" spans="1:11" s="2" customFormat="1" x14ac:dyDescent="0.25">
      <c r="A6" s="2" t="s">
        <v>8</v>
      </c>
      <c r="B6" s="1">
        <f>'Data Sheet'!B50</f>
        <v>628.52</v>
      </c>
      <c r="C6" s="1">
        <f>'Data Sheet'!C50</f>
        <v>469.64</v>
      </c>
      <c r="D6" s="1">
        <f>'Data Sheet'!D50</f>
        <v>613.35</v>
      </c>
      <c r="E6" s="1">
        <f>'Data Sheet'!E50</f>
        <v>645.72</v>
      </c>
      <c r="F6" s="1">
        <f>'Data Sheet'!F50</f>
        <v>847.37</v>
      </c>
      <c r="G6" s="1">
        <f>'Data Sheet'!G50</f>
        <v>650.91</v>
      </c>
      <c r="H6" s="1">
        <f>'Data Sheet'!H50</f>
        <v>847.86</v>
      </c>
      <c r="I6" s="1">
        <f>'Data Sheet'!I50</f>
        <v>815.98</v>
      </c>
      <c r="J6" s="1">
        <f>'Data Sheet'!J50</f>
        <v>1081.07</v>
      </c>
      <c r="K6" s="1">
        <f>'Data Sheet'!K50</f>
        <v>911.3</v>
      </c>
    </row>
    <row r="7" spans="1:11" x14ac:dyDescent="0.25">
      <c r="A7" t="s">
        <v>9</v>
      </c>
      <c r="B7" s="6">
        <f>'Data Sheet'!B44</f>
        <v>110.01</v>
      </c>
      <c r="C7" s="6">
        <f>'Data Sheet'!C44</f>
        <v>694.87</v>
      </c>
      <c r="D7" s="6">
        <f>'Data Sheet'!D44</f>
        <v>100.91</v>
      </c>
      <c r="E7" s="6">
        <f>'Data Sheet'!E44</f>
        <v>51.04</v>
      </c>
      <c r="F7" s="6">
        <f>'Data Sheet'!F44</f>
        <v>79.87</v>
      </c>
      <c r="G7" s="6">
        <f>'Data Sheet'!G44</f>
        <v>74.34</v>
      </c>
      <c r="H7" s="6">
        <f>'Data Sheet'!H44</f>
        <v>49.8</v>
      </c>
      <c r="I7" s="6">
        <f>'Data Sheet'!I44</f>
        <v>27.55</v>
      </c>
      <c r="J7" s="6">
        <f>'Data Sheet'!J44</f>
        <v>4.55</v>
      </c>
      <c r="K7" s="6">
        <f>'Data Sheet'!K44</f>
        <v>27.91</v>
      </c>
    </row>
    <row r="8" spans="1:11" x14ac:dyDescent="0.25">
      <c r="A8" t="s">
        <v>10</v>
      </c>
      <c r="B8" s="6">
        <f>'Data Sheet'!B45</f>
        <v>164.53</v>
      </c>
      <c r="C8" s="6">
        <f>'Data Sheet'!C45</f>
        <v>212.94</v>
      </c>
      <c r="D8" s="6">
        <f>'Data Sheet'!D45</f>
        <v>181.32</v>
      </c>
      <c r="E8" s="6">
        <f>'Data Sheet'!E45</f>
        <v>196.95</v>
      </c>
      <c r="F8" s="6">
        <f>'Data Sheet'!F45</f>
        <v>244.93</v>
      </c>
      <c r="G8" s="6">
        <f>'Data Sheet'!G45</f>
        <v>271.98</v>
      </c>
      <c r="H8" s="6">
        <f>'Data Sheet'!H45</f>
        <v>292.93</v>
      </c>
      <c r="I8" s="6">
        <f>'Data Sheet'!I45</f>
        <v>324.93</v>
      </c>
      <c r="J8" s="6">
        <f>'Data Sheet'!J45</f>
        <v>366.74</v>
      </c>
      <c r="K8" s="6">
        <f>'Data Sheet'!K45</f>
        <v>376.59</v>
      </c>
    </row>
    <row r="9" spans="1:11" x14ac:dyDescent="0.25">
      <c r="A9" t="s">
        <v>11</v>
      </c>
      <c r="B9" s="6">
        <f>'Data Sheet'!B46</f>
        <v>98.81</v>
      </c>
      <c r="C9" s="6">
        <f>'Data Sheet'!C46</f>
        <v>32.54</v>
      </c>
      <c r="D9" s="6">
        <f>'Data Sheet'!D46</f>
        <v>31.55</v>
      </c>
      <c r="E9" s="6">
        <f>'Data Sheet'!E46</f>
        <v>33</v>
      </c>
      <c r="F9" s="6">
        <f>'Data Sheet'!F46</f>
        <v>36.520000000000003</v>
      </c>
      <c r="G9" s="6">
        <f>'Data Sheet'!G46</f>
        <v>37.520000000000003</v>
      </c>
      <c r="H9" s="6">
        <f>'Data Sheet'!H46</f>
        <v>40.04</v>
      </c>
      <c r="I9" s="6">
        <f>'Data Sheet'!I46</f>
        <v>41.62</v>
      </c>
      <c r="J9" s="6">
        <f>'Data Sheet'!J46</f>
        <v>42.94</v>
      </c>
      <c r="K9" s="6">
        <f>'Data Sheet'!K46</f>
        <v>43.75</v>
      </c>
    </row>
    <row r="10" spans="1:11" x14ac:dyDescent="0.25">
      <c r="A10" t="s">
        <v>12</v>
      </c>
      <c r="B10" s="6">
        <f>'Data Sheet'!B47</f>
        <v>475.19</v>
      </c>
      <c r="C10" s="6">
        <f>'Data Sheet'!C47</f>
        <v>919.03</v>
      </c>
      <c r="D10" s="6">
        <f>'Data Sheet'!D47</f>
        <v>501.39</v>
      </c>
      <c r="E10" s="6">
        <f>'Data Sheet'!E47</f>
        <v>466.81</v>
      </c>
      <c r="F10" s="6">
        <f>'Data Sheet'!F47</f>
        <v>645.79</v>
      </c>
      <c r="G10" s="6">
        <f>'Data Sheet'!G47</f>
        <v>415.75</v>
      </c>
      <c r="H10" s="6">
        <f>'Data Sheet'!H47</f>
        <v>564.69000000000005</v>
      </c>
      <c r="I10" s="6">
        <f>'Data Sheet'!I47</f>
        <v>476.98</v>
      </c>
      <c r="J10" s="6">
        <f>'Data Sheet'!J47</f>
        <v>675.94</v>
      </c>
      <c r="K10" s="6">
        <f>'Data Sheet'!K47</f>
        <v>518.87</v>
      </c>
    </row>
    <row r="11" spans="1:11" x14ac:dyDescent="0.25">
      <c r="A11" t="s">
        <v>13</v>
      </c>
      <c r="B11" s="6">
        <f>'Data Sheet'!B48</f>
        <v>104.55</v>
      </c>
      <c r="C11" s="6">
        <f>'Data Sheet'!C48</f>
        <v>206.94</v>
      </c>
      <c r="D11" s="6">
        <f>'Data Sheet'!D48</f>
        <v>110.18</v>
      </c>
      <c r="E11" s="6">
        <f>'Data Sheet'!E48</f>
        <v>131.75</v>
      </c>
      <c r="F11" s="6">
        <f>'Data Sheet'!F48</f>
        <v>149.25</v>
      </c>
      <c r="G11" s="6">
        <f>'Data Sheet'!G48</f>
        <v>104.15</v>
      </c>
      <c r="H11" s="6">
        <f>'Data Sheet'!H48</f>
        <v>139.99</v>
      </c>
      <c r="I11" s="6">
        <f>'Data Sheet'!I48</f>
        <v>103.56</v>
      </c>
      <c r="J11" s="6">
        <f>'Data Sheet'!J48</f>
        <v>165.83</v>
      </c>
      <c r="K11" s="6">
        <f>'Data Sheet'!K48</f>
        <v>105.77</v>
      </c>
    </row>
    <row r="12" spans="1:11" s="2" customFormat="1" x14ac:dyDescent="0.25">
      <c r="A12" s="2" t="s">
        <v>14</v>
      </c>
      <c r="B12" s="1">
        <f>'Data Sheet'!B49</f>
        <v>374.36</v>
      </c>
      <c r="C12" s="1">
        <f>'Data Sheet'!C49</f>
        <v>704.23</v>
      </c>
      <c r="D12" s="1">
        <f>'Data Sheet'!D49</f>
        <v>392.57</v>
      </c>
      <c r="E12" s="1">
        <f>'Data Sheet'!E49</f>
        <v>338.75</v>
      </c>
      <c r="F12" s="1">
        <f>'Data Sheet'!F49</f>
        <v>497.25</v>
      </c>
      <c r="G12" s="1">
        <f>'Data Sheet'!G49</f>
        <v>318.14999999999998</v>
      </c>
      <c r="H12" s="1">
        <f>'Data Sheet'!H49</f>
        <v>429.69</v>
      </c>
      <c r="I12" s="1">
        <f>'Data Sheet'!I49</f>
        <v>376.86</v>
      </c>
      <c r="J12" s="1">
        <f>'Data Sheet'!J49</f>
        <v>512.77</v>
      </c>
      <c r="K12" s="1">
        <f>'Data Sheet'!K49</f>
        <v>400.33</v>
      </c>
    </row>
    <row r="14" spans="1:11" s="2" customFormat="1" x14ac:dyDescent="0.25">
      <c r="A14" s="2" t="s">
        <v>18</v>
      </c>
      <c r="B14" s="10">
        <f>IF(B4&gt;0,B6/B4,"")</f>
        <v>0.18130628681539943</v>
      </c>
      <c r="C14" s="10">
        <f t="shared" ref="C14:K14" si="0">IF(C4&gt;0,C6/C4,"")</f>
        <v>0.14241441004336355</v>
      </c>
      <c r="D14" s="10">
        <f t="shared" si="0"/>
        <v>0.14943573301108071</v>
      </c>
      <c r="E14" s="10">
        <f t="shared" si="0"/>
        <v>0.15534550493544111</v>
      </c>
      <c r="F14" s="10">
        <f t="shared" si="0"/>
        <v>0.18197338808047139</v>
      </c>
      <c r="G14" s="10">
        <f t="shared" si="0"/>
        <v>0.15435600221961898</v>
      </c>
      <c r="H14" s="10">
        <f t="shared" si="0"/>
        <v>0.17361799372578574</v>
      </c>
      <c r="I14" s="10">
        <f t="shared" si="0"/>
        <v>0.16937197987413027</v>
      </c>
      <c r="J14" s="10">
        <f t="shared" si="0"/>
        <v>0.20225591480731739</v>
      </c>
      <c r="K14" s="10">
        <f t="shared" si="0"/>
        <v>0.18124538831620587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9" activePane="bottomRight" state="frozen"/>
      <selection activeCell="I73" sqref="I73"/>
      <selection pane="topRight" activeCell="I73" sqref="I73"/>
      <selection pane="bottomLeft" activeCell="I73" sqref="I73"/>
      <selection pane="bottomRight" activeCell="I73" sqref="I73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TRENT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25">
      <c r="A4" t="s">
        <v>24</v>
      </c>
      <c r="B4" s="14">
        <f>'Data Sheet'!B57</f>
        <v>33.229999999999997</v>
      </c>
      <c r="C4" s="14">
        <f>'Data Sheet'!C57</f>
        <v>33.229999999999997</v>
      </c>
      <c r="D4" s="14">
        <f>'Data Sheet'!D57</f>
        <v>33.229999999999997</v>
      </c>
      <c r="E4" s="14">
        <f>'Data Sheet'!E57</f>
        <v>35.549999999999997</v>
      </c>
      <c r="F4" s="14">
        <f>'Data Sheet'!F57</f>
        <v>35.549999999999997</v>
      </c>
      <c r="G4" s="14">
        <f>'Data Sheet'!G57</f>
        <v>35.549999999999997</v>
      </c>
      <c r="H4" s="14">
        <f>'Data Sheet'!H57</f>
        <v>35.549999999999997</v>
      </c>
      <c r="I4" s="14">
        <f>'Data Sheet'!I57</f>
        <v>35.549999999999997</v>
      </c>
      <c r="J4" s="14">
        <f>'Data Sheet'!J57</f>
        <v>35.549999999999997</v>
      </c>
      <c r="K4" s="14">
        <f>'Data Sheet'!K57</f>
        <v>35.549999999999997</v>
      </c>
    </row>
    <row r="5" spans="1:11" x14ac:dyDescent="0.25">
      <c r="A5" t="s">
        <v>25</v>
      </c>
      <c r="B5" s="14">
        <f>'Data Sheet'!B58</f>
        <v>1514.46</v>
      </c>
      <c r="C5" s="14">
        <f>'Data Sheet'!C58</f>
        <v>1562.14</v>
      </c>
      <c r="D5" s="14">
        <f>'Data Sheet'!D58</f>
        <v>1613.28</v>
      </c>
      <c r="E5" s="14">
        <f>'Data Sheet'!E58</f>
        <v>2352.2199999999998</v>
      </c>
      <c r="F5" s="14">
        <f>'Data Sheet'!F58</f>
        <v>2277.48</v>
      </c>
      <c r="G5" s="14">
        <f>'Data Sheet'!G58</f>
        <v>2328.4499999999998</v>
      </c>
      <c r="H5" s="14">
        <f>'Data Sheet'!H58</f>
        <v>2559.94</v>
      </c>
      <c r="I5" s="14">
        <f>'Data Sheet'!I58</f>
        <v>4032.19</v>
      </c>
      <c r="J5" s="14">
        <f>'Data Sheet'!J58</f>
        <v>5426.19</v>
      </c>
      <c r="K5" s="14">
        <f>'Data Sheet'!K58</f>
        <v>6949.13</v>
      </c>
    </row>
    <row r="6" spans="1:11" x14ac:dyDescent="0.25">
      <c r="A6" t="s">
        <v>71</v>
      </c>
      <c r="B6" s="14">
        <f>'Data Sheet'!B59</f>
        <v>391.74</v>
      </c>
      <c r="C6" s="14">
        <f>'Data Sheet'!C59</f>
        <v>391.43</v>
      </c>
      <c r="D6" s="14">
        <f>'Data Sheet'!D59</f>
        <v>494.14</v>
      </c>
      <c r="E6" s="14">
        <f>'Data Sheet'!E59</f>
        <v>299.74</v>
      </c>
      <c r="F6" s="14">
        <f>'Data Sheet'!F59</f>
        <v>2963.63</v>
      </c>
      <c r="G6" s="14">
        <f>'Data Sheet'!G59</f>
        <v>4725.3599999999997</v>
      </c>
      <c r="H6" s="14">
        <f>'Data Sheet'!H59</f>
        <v>4464.1400000000003</v>
      </c>
      <c r="I6" s="14">
        <f>'Data Sheet'!I59</f>
        <v>1752.99</v>
      </c>
      <c r="J6" s="14">
        <f>'Data Sheet'!J59</f>
        <v>2237.19</v>
      </c>
      <c r="K6" s="14">
        <f>'Data Sheet'!K59</f>
        <v>2561.25</v>
      </c>
    </row>
    <row r="7" spans="1:11" x14ac:dyDescent="0.25">
      <c r="A7" t="s">
        <v>72</v>
      </c>
      <c r="B7" s="14">
        <f>'Data Sheet'!B60</f>
        <v>282.82</v>
      </c>
      <c r="C7" s="14">
        <f>'Data Sheet'!C60</f>
        <v>349.06</v>
      </c>
      <c r="D7" s="14">
        <f>'Data Sheet'!D60</f>
        <v>418.11</v>
      </c>
      <c r="E7" s="14">
        <f>'Data Sheet'!E60</f>
        <v>2819.17</v>
      </c>
      <c r="F7" s="14">
        <f>'Data Sheet'!F60</f>
        <v>447.07</v>
      </c>
      <c r="G7" s="14">
        <f>'Data Sheet'!G60</f>
        <v>636.66</v>
      </c>
      <c r="H7" s="14">
        <f>'Data Sheet'!H60</f>
        <v>1021.9</v>
      </c>
      <c r="I7" s="14">
        <f>'Data Sheet'!I60</f>
        <v>1341.02</v>
      </c>
      <c r="J7" s="14">
        <f>'Data Sheet'!J60</f>
        <v>1720.71</v>
      </c>
      <c r="K7" s="14">
        <f>'Data Sheet'!K60</f>
        <v>2182.65</v>
      </c>
    </row>
    <row r="8" spans="1:11" s="2" customFormat="1" x14ac:dyDescent="0.25">
      <c r="A8" s="2" t="s">
        <v>26</v>
      </c>
      <c r="B8" s="15">
        <f>'Data Sheet'!B61</f>
        <v>2222.25</v>
      </c>
      <c r="C8" s="15">
        <f>'Data Sheet'!C61</f>
        <v>2335.86</v>
      </c>
      <c r="D8" s="15">
        <f>'Data Sheet'!D61</f>
        <v>2558.7600000000002</v>
      </c>
      <c r="E8" s="15">
        <f>'Data Sheet'!E61</f>
        <v>5506.68</v>
      </c>
      <c r="F8" s="15">
        <f>'Data Sheet'!F61</f>
        <v>5723.73</v>
      </c>
      <c r="G8" s="15">
        <f>'Data Sheet'!G61</f>
        <v>7726.02</v>
      </c>
      <c r="H8" s="15">
        <f>'Data Sheet'!H61</f>
        <v>8081.53</v>
      </c>
      <c r="I8" s="15">
        <f>'Data Sheet'!I61</f>
        <v>7161.75</v>
      </c>
      <c r="J8" s="15">
        <f>'Data Sheet'!J61</f>
        <v>9419.64</v>
      </c>
      <c r="K8" s="15">
        <f>'Data Sheet'!K61</f>
        <v>11728.58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548.71</v>
      </c>
      <c r="C10" s="14">
        <f>'Data Sheet'!C62</f>
        <v>612.53</v>
      </c>
      <c r="D10" s="14">
        <f>'Data Sheet'!D62</f>
        <v>662.18</v>
      </c>
      <c r="E10" s="14">
        <f>'Data Sheet'!E62</f>
        <v>2738.43</v>
      </c>
      <c r="F10" s="14">
        <f>'Data Sheet'!F62</f>
        <v>3053.82</v>
      </c>
      <c r="G10" s="14">
        <f>'Data Sheet'!G62</f>
        <v>4686.71</v>
      </c>
      <c r="H10" s="14">
        <f>'Data Sheet'!H62</f>
        <v>4526.95</v>
      </c>
      <c r="I10" s="14">
        <f>'Data Sheet'!I62</f>
        <v>2449.92</v>
      </c>
      <c r="J10" s="14">
        <f>'Data Sheet'!J62</f>
        <v>3895.13</v>
      </c>
      <c r="K10" s="14">
        <f>'Data Sheet'!K62</f>
        <v>5518.74</v>
      </c>
    </row>
    <row r="11" spans="1:11" x14ac:dyDescent="0.25">
      <c r="A11" t="s">
        <v>28</v>
      </c>
      <c r="B11" s="14">
        <f>'Data Sheet'!B63</f>
        <v>5.48</v>
      </c>
      <c r="C11" s="14">
        <f>'Data Sheet'!C63</f>
        <v>9.59</v>
      </c>
      <c r="D11" s="14">
        <f>'Data Sheet'!D63</f>
        <v>87.18</v>
      </c>
      <c r="E11" s="14">
        <f>'Data Sheet'!E63</f>
        <v>23.32</v>
      </c>
      <c r="F11" s="14">
        <f>'Data Sheet'!F63</f>
        <v>107.98</v>
      </c>
      <c r="G11" s="14">
        <f>'Data Sheet'!G63</f>
        <v>104.72</v>
      </c>
      <c r="H11" s="14">
        <f>'Data Sheet'!H63</f>
        <v>101.72</v>
      </c>
      <c r="I11" s="14">
        <f>'Data Sheet'!I63</f>
        <v>223.78</v>
      </c>
      <c r="J11" s="14">
        <f>'Data Sheet'!J63</f>
        <v>179.5</v>
      </c>
      <c r="K11" s="14">
        <f>'Data Sheet'!K63</f>
        <v>253.99</v>
      </c>
    </row>
    <row r="12" spans="1:11" x14ac:dyDescent="0.25">
      <c r="A12" t="s">
        <v>29</v>
      </c>
      <c r="B12" s="14">
        <f>'Data Sheet'!B64</f>
        <v>1079.96</v>
      </c>
      <c r="C12" s="14">
        <f>'Data Sheet'!C64</f>
        <v>1022.88</v>
      </c>
      <c r="D12" s="14">
        <f>'Data Sheet'!D64</f>
        <v>882.83</v>
      </c>
      <c r="E12" s="14">
        <f>'Data Sheet'!E64</f>
        <v>1514.78</v>
      </c>
      <c r="F12" s="14">
        <f>'Data Sheet'!F64</f>
        <v>1487.29</v>
      </c>
      <c r="G12" s="14">
        <f>'Data Sheet'!G64</f>
        <v>1283.72</v>
      </c>
      <c r="H12" s="14">
        <f>'Data Sheet'!H64</f>
        <v>1109.8699999999999</v>
      </c>
      <c r="I12" s="14">
        <f>'Data Sheet'!I64</f>
        <v>1416.03</v>
      </c>
      <c r="J12" s="14">
        <f>'Data Sheet'!J64</f>
        <v>1480.25</v>
      </c>
      <c r="K12" s="14">
        <f>'Data Sheet'!K64</f>
        <v>1384.91</v>
      </c>
    </row>
    <row r="13" spans="1:11" x14ac:dyDescent="0.25">
      <c r="A13" t="s">
        <v>73</v>
      </c>
      <c r="B13" s="14">
        <f>'Data Sheet'!B65</f>
        <v>588.1</v>
      </c>
      <c r="C13" s="14">
        <f>'Data Sheet'!C65</f>
        <v>690.86</v>
      </c>
      <c r="D13" s="14">
        <f>'Data Sheet'!D65</f>
        <v>926.57</v>
      </c>
      <c r="E13" s="14">
        <f>'Data Sheet'!E65</f>
        <v>1230.1500000000001</v>
      </c>
      <c r="F13" s="14">
        <f>'Data Sheet'!F65</f>
        <v>1074.6400000000001</v>
      </c>
      <c r="G13" s="14">
        <f>'Data Sheet'!G65</f>
        <v>1650.87</v>
      </c>
      <c r="H13" s="14">
        <f>'Data Sheet'!H65</f>
        <v>2342.9899999999998</v>
      </c>
      <c r="I13" s="14">
        <f>'Data Sheet'!I65</f>
        <v>3072.02</v>
      </c>
      <c r="J13" s="14">
        <f>'Data Sheet'!J65</f>
        <v>3864.76</v>
      </c>
      <c r="K13" s="14">
        <f>'Data Sheet'!K65</f>
        <v>4570.9399999999996</v>
      </c>
    </row>
    <row r="14" spans="1:11" s="2" customFormat="1" x14ac:dyDescent="0.25">
      <c r="A14" s="2" t="s">
        <v>26</v>
      </c>
      <c r="B14" s="14">
        <f>'Data Sheet'!B66</f>
        <v>2222.25</v>
      </c>
      <c r="C14" s="14">
        <f>'Data Sheet'!C66</f>
        <v>2335.86</v>
      </c>
      <c r="D14" s="14">
        <f>'Data Sheet'!D66</f>
        <v>2558.7600000000002</v>
      </c>
      <c r="E14" s="14">
        <f>'Data Sheet'!E66</f>
        <v>5506.68</v>
      </c>
      <c r="F14" s="14">
        <f>'Data Sheet'!F66</f>
        <v>5723.73</v>
      </c>
      <c r="G14" s="14">
        <f>'Data Sheet'!G66</f>
        <v>7726.02</v>
      </c>
      <c r="H14" s="14">
        <f>'Data Sheet'!H66</f>
        <v>8081.53</v>
      </c>
      <c r="I14" s="14">
        <f>'Data Sheet'!I66</f>
        <v>7161.75</v>
      </c>
      <c r="J14" s="14">
        <f>'Data Sheet'!J66</f>
        <v>9419.64</v>
      </c>
      <c r="K14" s="14">
        <f>'Data Sheet'!K66</f>
        <v>11728.58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305.28000000000003</v>
      </c>
      <c r="C16" s="4">
        <f t="shared" ref="C16:K16" si="0">C13-C7</f>
        <v>341.8</v>
      </c>
      <c r="D16" s="4">
        <f t="shared" si="0"/>
        <v>508.46000000000004</v>
      </c>
      <c r="E16" s="4">
        <f t="shared" si="0"/>
        <v>-1589.02</v>
      </c>
      <c r="F16" s="4">
        <f t="shared" si="0"/>
        <v>627.57000000000016</v>
      </c>
      <c r="G16" s="4">
        <f t="shared" si="0"/>
        <v>1014.2099999999999</v>
      </c>
      <c r="H16" s="4">
        <f t="shared" si="0"/>
        <v>1321.0899999999997</v>
      </c>
      <c r="I16" s="4">
        <f t="shared" si="0"/>
        <v>1731</v>
      </c>
      <c r="J16" s="4">
        <f t="shared" si="0"/>
        <v>2144.0500000000002</v>
      </c>
      <c r="K16" s="4">
        <f t="shared" si="0"/>
        <v>2388.2899999999995</v>
      </c>
    </row>
    <row r="17" spans="1:11" x14ac:dyDescent="0.25">
      <c r="A17" t="s">
        <v>44</v>
      </c>
      <c r="B17" s="4">
        <f>'Data Sheet'!B67</f>
        <v>5.92</v>
      </c>
      <c r="C17" s="4">
        <f>'Data Sheet'!C67</f>
        <v>15.1</v>
      </c>
      <c r="D17" s="4">
        <f>'Data Sheet'!D67</f>
        <v>16.54</v>
      </c>
      <c r="E17" s="4">
        <f>'Data Sheet'!E67</f>
        <v>17.12</v>
      </c>
      <c r="F17" s="4">
        <f>'Data Sheet'!F67</f>
        <v>20.77</v>
      </c>
      <c r="G17" s="4">
        <f>'Data Sheet'!G67</f>
        <v>18.260000000000002</v>
      </c>
      <c r="H17" s="4">
        <f>'Data Sheet'!H67</f>
        <v>34.39</v>
      </c>
      <c r="I17" s="4">
        <f>'Data Sheet'!I67</f>
        <v>81.739999999999995</v>
      </c>
      <c r="J17" s="4">
        <f>'Data Sheet'!J67</f>
        <v>62.95</v>
      </c>
      <c r="K17" s="4">
        <f>'Data Sheet'!K67</f>
        <v>51.14</v>
      </c>
    </row>
    <row r="18" spans="1:11" x14ac:dyDescent="0.25">
      <c r="A18" t="s">
        <v>45</v>
      </c>
      <c r="B18" s="4">
        <f>'Data Sheet'!B68</f>
        <v>305.36</v>
      </c>
      <c r="C18" s="4">
        <f>'Data Sheet'!C68</f>
        <v>344.77</v>
      </c>
      <c r="D18" s="4">
        <f>'Data Sheet'!D68</f>
        <v>497.01</v>
      </c>
      <c r="E18" s="4">
        <f>'Data Sheet'!E68</f>
        <v>607.80999999999995</v>
      </c>
      <c r="F18" s="4">
        <f>'Data Sheet'!F68</f>
        <v>428.39</v>
      </c>
      <c r="G18" s="4">
        <f>'Data Sheet'!G68</f>
        <v>867.78</v>
      </c>
      <c r="H18" s="4">
        <f>'Data Sheet'!H68</f>
        <v>1361.16</v>
      </c>
      <c r="I18" s="4">
        <f>'Data Sheet'!I68</f>
        <v>1582.73</v>
      </c>
      <c r="J18" s="4">
        <f>'Data Sheet'!J68</f>
        <v>2045.05</v>
      </c>
      <c r="K18" s="4">
        <f>'Data Sheet'!K68</f>
        <v>2289.0100000000002</v>
      </c>
    </row>
    <row r="20" spans="1:11" x14ac:dyDescent="0.25">
      <c r="A20" t="s">
        <v>46</v>
      </c>
      <c r="B20" s="4">
        <f>IF('Profit &amp; Loss'!B4&gt;0,'Balance Sheet'!B17/('Profit &amp; Loss'!B4/365),0)</f>
        <v>1.1922049833373793</v>
      </c>
      <c r="C20" s="4">
        <f>IF('Profit &amp; Loss'!C4&gt;0,'Balance Sheet'!C17/('Profit &amp; Loss'!C4/365),0)</f>
        <v>2.5546244194562124</v>
      </c>
      <c r="D20" s="4">
        <f>IF('Profit &amp; Loss'!D4&gt;0,'Balance Sheet'!D17/('Profit &amp; Loss'!D4/365),0)</f>
        <v>2.2952658312549428</v>
      </c>
      <c r="E20" s="4">
        <f>IF('Profit &amp; Loss'!E4&gt;0,'Balance Sheet'!E17/('Profit &amp; Loss'!E4/365),0)</f>
        <v>1.7925518792419923</v>
      </c>
      <c r="F20" s="4">
        <f>IF('Profit &amp; Loss'!F4&gt;0,'Balance Sheet'!F17/('Profit &amp; Loss'!F4/365),0)</f>
        <v>2.923704954954955</v>
      </c>
      <c r="G20" s="4">
        <f>IF('Profit &amp; Loss'!G4&gt;0,'Balance Sheet'!G17/('Profit &amp; Loss'!G4/365),0)</f>
        <v>1.4817408548650295</v>
      </c>
      <c r="H20" s="4">
        <f>IF('Profit &amp; Loss'!H4&gt;0,'Balance Sheet'!H17/('Profit &amp; Loss'!H4/365),0)</f>
        <v>1.5229700971363818</v>
      </c>
      <c r="I20" s="4">
        <f>IF('Profit &amp; Loss'!I4&gt;0,'Balance Sheet'!I17/('Profit &amp; Loss'!I4/365),0)</f>
        <v>2.4108957415328023</v>
      </c>
      <c r="J20" s="4">
        <f>IF('Profit &amp; Loss'!J4&gt;0,'Balance Sheet'!J17/('Profit &amp; Loss'!J4/365),0)</f>
        <v>1.3409555280219392</v>
      </c>
      <c r="K20" s="4">
        <f>IF('Profit &amp; Loss'!K4&gt;0,'Balance Sheet'!K17/('Profit &amp; Loss'!K4/365),0)</f>
        <v>0.92985477386158666</v>
      </c>
    </row>
    <row r="21" spans="1:11" x14ac:dyDescent="0.25">
      <c r="A21" t="s">
        <v>47</v>
      </c>
      <c r="B21" s="4">
        <f>IF('Balance Sheet'!B18&gt;0,'Profit &amp; Loss'!B4/'Balance Sheet'!B18,0)</f>
        <v>5.935420487293686</v>
      </c>
      <c r="C21" s="4">
        <f>IF('Balance Sheet'!C18&gt;0,'Profit &amp; Loss'!C4/'Balance Sheet'!C18,0)</f>
        <v>6.2576790323984106</v>
      </c>
      <c r="D21" s="4">
        <f>IF('Balance Sheet'!D18&gt;0,'Profit &amp; Loss'!D4/'Balance Sheet'!D18,0)</f>
        <v>5.2921269189754732</v>
      </c>
      <c r="E21" s="4">
        <f>IF('Balance Sheet'!E18&gt;0,'Profit &amp; Loss'!E4/'Balance Sheet'!E18,0)</f>
        <v>5.7353120218489337</v>
      </c>
      <c r="F21" s="4">
        <f>IF('Balance Sheet'!F18&gt;0,'Profit &amp; Loss'!F4/'Balance Sheet'!F18,0)</f>
        <v>6.0528023529961024</v>
      </c>
      <c r="G21" s="4">
        <f>IF('Balance Sheet'!G18&gt;0,'Profit &amp; Loss'!G4/'Balance Sheet'!G18,0)</f>
        <v>5.1833644472101232</v>
      </c>
      <c r="H21" s="4">
        <f>IF('Balance Sheet'!H18&gt;0,'Profit &amp; Loss'!H4/'Balance Sheet'!H18,0)</f>
        <v>6.0551441417614384</v>
      </c>
      <c r="I21" s="4">
        <f>IF('Balance Sheet'!I18&gt;0,'Profit &amp; Loss'!I4/'Balance Sheet'!I18,0)</f>
        <v>7.8188383362923561</v>
      </c>
      <c r="J21" s="4">
        <f>IF('Balance Sheet'!J18&gt;0,'Profit &amp; Loss'!J4/'Balance Sheet'!J18,0)</f>
        <v>8.3785775408914205</v>
      </c>
      <c r="K21" s="4">
        <f>IF('Balance Sheet'!K18&gt;0,'Profit &amp; Loss'!K4/'Balance Sheet'!K18,0)</f>
        <v>8.7698218880651453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5.4830101635340411E-2</v>
      </c>
      <c r="C23" s="10">
        <f>IF(SUM('Balance Sheet'!C4:C5)&gt;0,'Profit &amp; Loss'!C12/SUM('Balance Sheet'!C4:C5),"")</f>
        <v>5.4513999887173502E-2</v>
      </c>
      <c r="D23" s="10">
        <f>IF(SUM('Balance Sheet'!D4:D5)&gt;0,'Profit &amp; Loss'!D12/SUM('Balance Sheet'!D4:D5),"")</f>
        <v>5.8888193816010834E-2</v>
      </c>
      <c r="E23" s="10">
        <f>IF(SUM('Balance Sheet'!E4:E5)&gt;0,'Profit &amp; Loss'!E12/SUM('Balance Sheet'!E4:E5),"")</f>
        <v>5.1449678989182374E-2</v>
      </c>
      <c r="F23" s="10">
        <f>IF(SUM('Balance Sheet'!F4:F5)&gt;0,'Profit &amp; Loss'!F12/SUM('Balance Sheet'!F4:F5),"")</f>
        <v>-6.3194165229158286E-2</v>
      </c>
      <c r="G23" s="10">
        <f>IF(SUM('Balance Sheet'!G4:G5)&gt;0,'Profit &amp; Loss'!G12/SUM('Balance Sheet'!G4:G5),"")</f>
        <v>4.4767343485617596E-2</v>
      </c>
      <c r="H23" s="10">
        <f>IF(SUM('Balance Sheet'!H4:H5)&gt;0,'Profit &amp; Loss'!H12/SUM('Balance Sheet'!H4:H5),"")</f>
        <v>0.17130869315620556</v>
      </c>
      <c r="I23" s="10">
        <f>IF(SUM('Balance Sheet'!I4:I5)&gt;0,'Profit &amp; Loss'!I12/SUM('Balance Sheet'!I4:I5),"")</f>
        <v>0.3655100866820396</v>
      </c>
      <c r="J23" s="10">
        <f>IF(SUM('Balance Sheet'!J4:J5)&gt;0,'Profit &amp; Loss'!J12/SUM('Balance Sheet'!J4:J5),"")</f>
        <v>0.28319180334472166</v>
      </c>
      <c r="K23" s="10">
        <f>IF(SUM('Balance Sheet'!K4:K5)&gt;0,'Profit &amp; Loss'!K12/SUM('Balance Sheet'!K4:K5),"")</f>
        <v>0.24620311882577298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9.7009090144999144E-2</v>
      </c>
      <c r="D24" s="10">
        <f>IF((C4+C5+C6+D4+D5+D6)&gt;0,('Profit &amp; Loss'!D10+'Profit &amp; Loss'!D9)*2/(C4+C5+C6+D4+D5+D6),"")</f>
        <v>0.10617209172733769</v>
      </c>
      <c r="E24" s="10">
        <f>IF((D4+D5+D6+E4+E5+E6)&gt;0,('Profit &amp; Loss'!E10+'Profit &amp; Loss'!E9)*2/(D4+D5+D6+E4+E5+E6),"")</f>
        <v>0.17744233828207848</v>
      </c>
      <c r="F24" s="10">
        <f>IF((E4+E5+E6+F4+F5+F6)&gt;0,('Profit &amp; Loss'!F10+'Profit &amp; Loss'!F9)*2/(E4+E5+E6+F4+F5+F6),"")</f>
        <v>1.4055450850496667E-2</v>
      </c>
      <c r="G24" s="10">
        <f>IF((F4+F5+F6+G4+G5+G6)&gt;0,('Profit &amp; Loss'!G10+'Profit &amp; Loss'!G9)*2/(F4+F5+F6+G4+G5+G6),"")</f>
        <v>7.0525520741515857E-2</v>
      </c>
      <c r="H24" s="10">
        <f>IF((G4+G5+G6+H4+H5+H6)&gt;0,('Profit &amp; Loss'!H10+'Profit &amp; Loss'!H9)*2/(G4+G5+G6+H4+H5+H6),"")</f>
        <v>0.13584856586936594</v>
      </c>
      <c r="I24" s="10">
        <f>IF((H4+H5+H6+I4+I5+I6)&gt;0,('Profit &amp; Loss'!I10+'Profit &amp; Loss'!I9)*2/(H4+H5+H6+I4+I5+I6),"")</f>
        <v>0.35534565804061374</v>
      </c>
      <c r="J24" s="10">
        <f>IF((I4+I5+I6+J4+J5+J6)&gt;0,('Profit &amp; Loss'!J10+'Profit &amp; Loss'!J9)*2/(I4+I5+I6+J4+J5+J6),"")</f>
        <v>0.32986628361955844</v>
      </c>
      <c r="K24" s="10">
        <f>IF((J4+J5+J6+K4+K5+K6)&gt;0,('Profit &amp; Loss'!K10+'Profit &amp; Loss'!K9)*2/(J4+J5+J6+K4+K5+K6),"")</f>
        <v>0.27890397486555413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activeCell="I73" sqref="I73"/>
      <selection pane="topRight" activeCell="I73" sqref="I73"/>
      <selection pane="bottomLeft" activeCell="I73" sqref="I73"/>
      <selection pane="bottomRight" activeCell="J4" sqref="J4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TRENT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25">
      <c r="A4" s="2" t="s">
        <v>32</v>
      </c>
      <c r="B4" s="1">
        <f>'Data Sheet'!B82</f>
        <v>102.44</v>
      </c>
      <c r="C4" s="1">
        <f>'Data Sheet'!C82</f>
        <v>76.86</v>
      </c>
      <c r="D4" s="1">
        <f>'Data Sheet'!D82</f>
        <v>20.98</v>
      </c>
      <c r="E4" s="1">
        <f>'Data Sheet'!E82</f>
        <v>361.16</v>
      </c>
      <c r="F4" s="1">
        <f>'Data Sheet'!F82</f>
        <v>285.02999999999997</v>
      </c>
      <c r="G4" s="1">
        <f>'Data Sheet'!G82</f>
        <v>58.08</v>
      </c>
      <c r="H4" s="1">
        <f>'Data Sheet'!H82</f>
        <v>594.88</v>
      </c>
      <c r="I4" s="1">
        <f>'Data Sheet'!I82</f>
        <v>1348.98</v>
      </c>
      <c r="J4" s="1">
        <f>'Data Sheet'!J82</f>
        <v>1660.9</v>
      </c>
      <c r="K4" s="1">
        <f>'Data Sheet'!K82</f>
        <v>2667.62</v>
      </c>
    </row>
    <row r="5" spans="1:11" x14ac:dyDescent="0.25">
      <c r="A5" t="s">
        <v>33</v>
      </c>
      <c r="B5" s="6">
        <f>'Data Sheet'!B83</f>
        <v>-43.7</v>
      </c>
      <c r="C5" s="6">
        <f>'Data Sheet'!C83</f>
        <v>-4.0199999999999996</v>
      </c>
      <c r="D5" s="6">
        <f>'Data Sheet'!D83</f>
        <v>-37.03</v>
      </c>
      <c r="E5" s="6">
        <f>'Data Sheet'!E83</f>
        <v>-808.56</v>
      </c>
      <c r="F5" s="6">
        <f>'Data Sheet'!F83</f>
        <v>17.71</v>
      </c>
      <c r="G5" s="6">
        <f>'Data Sheet'!G83</f>
        <v>56.03</v>
      </c>
      <c r="H5" s="6">
        <f>'Data Sheet'!H83</f>
        <v>-102.63</v>
      </c>
      <c r="I5" s="6">
        <f>'Data Sheet'!I83</f>
        <v>-508.21</v>
      </c>
      <c r="J5" s="6">
        <f>'Data Sheet'!J83</f>
        <v>-923.31</v>
      </c>
      <c r="K5" s="6">
        <f>'Data Sheet'!K83</f>
        <v>-1578.36</v>
      </c>
    </row>
    <row r="6" spans="1:11" x14ac:dyDescent="0.25">
      <c r="A6" t="s">
        <v>34</v>
      </c>
      <c r="B6" s="6">
        <f>'Data Sheet'!B84</f>
        <v>-51.36</v>
      </c>
      <c r="C6" s="6">
        <f>'Data Sheet'!C84</f>
        <v>-74.31</v>
      </c>
      <c r="D6" s="6">
        <f>'Data Sheet'!D84</f>
        <v>37.47</v>
      </c>
      <c r="E6" s="6">
        <f>'Data Sheet'!E84</f>
        <v>451.94</v>
      </c>
      <c r="F6" s="6">
        <f>'Data Sheet'!F84</f>
        <v>-283.11</v>
      </c>
      <c r="G6" s="6">
        <f>'Data Sheet'!G84</f>
        <v>-107.98</v>
      </c>
      <c r="H6" s="6">
        <f>'Data Sheet'!H84</f>
        <v>-491.41</v>
      </c>
      <c r="I6" s="6">
        <f>'Data Sheet'!I84</f>
        <v>-629.45000000000005</v>
      </c>
      <c r="J6" s="6">
        <f>'Data Sheet'!J84</f>
        <v>-693.67</v>
      </c>
      <c r="K6" s="6">
        <f>'Data Sheet'!K84</f>
        <v>-1147.6099999999999</v>
      </c>
    </row>
    <row r="7" spans="1:11" s="2" customFormat="1" x14ac:dyDescent="0.25">
      <c r="A7" s="2" t="s">
        <v>35</v>
      </c>
      <c r="B7" s="1">
        <f>'Data Sheet'!B85</f>
        <v>7.38</v>
      </c>
      <c r="C7" s="1">
        <f>'Data Sheet'!C85</f>
        <v>-1.47</v>
      </c>
      <c r="D7" s="1">
        <f>'Data Sheet'!D85</f>
        <v>21.42</v>
      </c>
      <c r="E7" s="1">
        <f>'Data Sheet'!E85</f>
        <v>4.54</v>
      </c>
      <c r="F7" s="1">
        <f>'Data Sheet'!F85</f>
        <v>19.63</v>
      </c>
      <c r="G7" s="1">
        <f>'Data Sheet'!G85</f>
        <v>6.13</v>
      </c>
      <c r="H7" s="1">
        <f>'Data Sheet'!H85</f>
        <v>0.84</v>
      </c>
      <c r="I7" s="1">
        <f>'Data Sheet'!I85</f>
        <v>211.32</v>
      </c>
      <c r="J7" s="1">
        <f>'Data Sheet'!J85</f>
        <v>43.92</v>
      </c>
      <c r="K7" s="1">
        <f>'Data Sheet'!K85</f>
        <v>-58.35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I73" sqref="I73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I73" sqref="I73"/>
      <selection pane="topRight" activeCell="I73" sqref="I73"/>
      <selection pane="bottomLeft" activeCell="I73" sqref="I73"/>
      <selection pane="bottomRight" activeCell="J31" sqref="J31"/>
    </sheetView>
  </sheetViews>
  <sheetFormatPr defaultColWidth="8.85546875" defaultRowHeight="15" x14ac:dyDescent="0.25"/>
  <cols>
    <col min="1" max="1" width="27.7109375" style="4" bestFit="1" customWidth="1"/>
    <col min="2" max="9" width="13.42578125" style="4" bestFit="1" customWidth="1"/>
    <col min="10" max="11" width="13.42578125" style="4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104" t="str">
        <f>IF(B2&lt;&gt;B3, "A NEW VERSION OF THE WORKSHEET IS AVAILABLE", "")</f>
        <v/>
      </c>
      <c r="F1" s="104"/>
      <c r="G1" s="104"/>
      <c r="H1" s="104"/>
      <c r="I1" s="104"/>
      <c r="J1" s="104"/>
      <c r="K1" s="104"/>
    </row>
    <row r="2" spans="1:11" x14ac:dyDescent="0.25">
      <c r="A2" s="1" t="s">
        <v>61</v>
      </c>
      <c r="B2" s="4">
        <v>2.1</v>
      </c>
      <c r="E2" s="105" t="s">
        <v>36</v>
      </c>
      <c r="F2" s="105"/>
      <c r="G2" s="105"/>
      <c r="H2" s="105"/>
      <c r="I2" s="105"/>
      <c r="J2" s="105"/>
      <c r="K2" s="105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35.54874688758057</v>
      </c>
    </row>
    <row r="7" spans="1:11" x14ac:dyDescent="0.25">
      <c r="A7" s="4" t="s">
        <v>31</v>
      </c>
      <c r="B7">
        <v>1</v>
      </c>
    </row>
    <row r="8" spans="1:11" x14ac:dyDescent="0.25">
      <c r="A8" s="4" t="s">
        <v>43</v>
      </c>
      <c r="B8">
        <v>4297.3</v>
      </c>
    </row>
    <row r="9" spans="1:11" x14ac:dyDescent="0.25">
      <c r="A9" s="4" t="s">
        <v>79</v>
      </c>
      <c r="B9">
        <v>152763.63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6</v>
      </c>
      <c r="B17">
        <v>1812.44</v>
      </c>
      <c r="C17">
        <v>2157.46</v>
      </c>
      <c r="D17">
        <v>2630.24</v>
      </c>
      <c r="E17">
        <v>3485.98</v>
      </c>
      <c r="F17">
        <v>2592.96</v>
      </c>
      <c r="G17">
        <v>4498.0200000000004</v>
      </c>
      <c r="H17">
        <v>8242.02</v>
      </c>
      <c r="I17">
        <v>12375.11</v>
      </c>
      <c r="J17">
        <v>17134.61</v>
      </c>
      <c r="K17">
        <v>20074.21</v>
      </c>
    </row>
    <row r="18" spans="1:11" s="6" customFormat="1" x14ac:dyDescent="0.25">
      <c r="A18" s="4" t="s">
        <v>80</v>
      </c>
      <c r="B18">
        <v>911.22</v>
      </c>
      <c r="C18">
        <v>1070.02</v>
      </c>
      <c r="D18">
        <v>1459.67</v>
      </c>
      <c r="E18">
        <v>1951.64</v>
      </c>
      <c r="F18">
        <v>1371.64</v>
      </c>
      <c r="G18">
        <v>2920.38</v>
      </c>
      <c r="H18">
        <v>5211.05</v>
      </c>
      <c r="I18">
        <v>7123.6</v>
      </c>
      <c r="J18">
        <v>10143.39</v>
      </c>
      <c r="K18">
        <v>11496.89</v>
      </c>
    </row>
    <row r="19" spans="1:11" s="6" customFormat="1" x14ac:dyDescent="0.25">
      <c r="A19" s="4" t="s">
        <v>81</v>
      </c>
      <c r="B19">
        <v>29.86</v>
      </c>
      <c r="C19">
        <v>38.51</v>
      </c>
      <c r="D19">
        <v>148.22999999999999</v>
      </c>
      <c r="E19">
        <v>69.89</v>
      </c>
      <c r="F19">
        <v>-162.36000000000001</v>
      </c>
      <c r="G19">
        <v>438.84</v>
      </c>
      <c r="H19">
        <v>491.31</v>
      </c>
      <c r="I19">
        <v>164.71</v>
      </c>
      <c r="J19">
        <v>454.25</v>
      </c>
      <c r="K19">
        <v>232.18</v>
      </c>
    </row>
    <row r="20" spans="1:11" s="6" customFormat="1" x14ac:dyDescent="0.25">
      <c r="A20" s="4" t="s">
        <v>82</v>
      </c>
      <c r="B20">
        <v>51.28</v>
      </c>
      <c r="C20">
        <v>52.75</v>
      </c>
      <c r="D20">
        <v>59.18</v>
      </c>
      <c r="E20">
        <v>66.64</v>
      </c>
      <c r="F20">
        <v>49.41</v>
      </c>
      <c r="G20">
        <v>71.89</v>
      </c>
      <c r="H20">
        <v>144.28</v>
      </c>
      <c r="I20">
        <v>229.16</v>
      </c>
      <c r="J20">
        <v>349.87</v>
      </c>
      <c r="K20"/>
    </row>
    <row r="21" spans="1:11" s="6" customFormat="1" x14ac:dyDescent="0.25">
      <c r="A21" s="4" t="s">
        <v>83</v>
      </c>
      <c r="B21">
        <v>81.91</v>
      </c>
      <c r="C21">
        <v>90.78</v>
      </c>
      <c r="D21">
        <v>122.09</v>
      </c>
      <c r="E21">
        <v>97.51</v>
      </c>
      <c r="F21">
        <v>92</v>
      </c>
      <c r="G21">
        <v>127.14</v>
      </c>
      <c r="H21">
        <v>211.99</v>
      </c>
      <c r="I21">
        <v>264.58999999999997</v>
      </c>
      <c r="J21">
        <v>369.79</v>
      </c>
      <c r="K21"/>
    </row>
    <row r="22" spans="1:11" s="6" customFormat="1" x14ac:dyDescent="0.25">
      <c r="A22" s="4" t="s">
        <v>84</v>
      </c>
      <c r="B22">
        <v>194.72</v>
      </c>
      <c r="C22">
        <v>233.02</v>
      </c>
      <c r="D22">
        <v>288.89</v>
      </c>
      <c r="E22">
        <v>361.01</v>
      </c>
      <c r="F22">
        <v>303.39999999999998</v>
      </c>
      <c r="G22">
        <v>402.92</v>
      </c>
      <c r="H22">
        <v>659.07</v>
      </c>
      <c r="I22">
        <v>1041.74</v>
      </c>
      <c r="J22">
        <v>1315.54</v>
      </c>
      <c r="K22">
        <v>1355.49</v>
      </c>
    </row>
    <row r="23" spans="1:11" s="6" customFormat="1" x14ac:dyDescent="0.25">
      <c r="A23" s="4" t="s">
        <v>85</v>
      </c>
      <c r="B23">
        <v>407.07</v>
      </c>
      <c r="C23">
        <v>450.61</v>
      </c>
      <c r="D23">
        <v>514.41</v>
      </c>
      <c r="E23">
        <v>436.82</v>
      </c>
      <c r="F23">
        <v>364.62</v>
      </c>
      <c r="G23">
        <v>705.03</v>
      </c>
      <c r="H23">
        <v>1252.53</v>
      </c>
      <c r="I23">
        <v>1709.55</v>
      </c>
      <c r="J23">
        <v>2322.83</v>
      </c>
      <c r="K23">
        <v>1563.94</v>
      </c>
    </row>
    <row r="24" spans="1:11" s="6" customFormat="1" x14ac:dyDescent="0.25">
      <c r="A24" s="4" t="s">
        <v>86</v>
      </c>
      <c r="B24">
        <v>62.57</v>
      </c>
      <c r="C24">
        <v>90.29</v>
      </c>
      <c r="D24">
        <v>93.59</v>
      </c>
      <c r="E24">
        <v>113.28</v>
      </c>
      <c r="F24">
        <v>135.66</v>
      </c>
      <c r="G24">
        <v>114.78</v>
      </c>
      <c r="H24">
        <v>140.26</v>
      </c>
      <c r="I24">
        <v>200.49</v>
      </c>
      <c r="J24">
        <v>267.48</v>
      </c>
      <c r="K24">
        <v>2216.6799999999998</v>
      </c>
    </row>
    <row r="25" spans="1:11" s="6" customFormat="1" x14ac:dyDescent="0.25">
      <c r="A25" s="6" t="s">
        <v>9</v>
      </c>
      <c r="B25">
        <v>81.31</v>
      </c>
      <c r="C25">
        <v>27.47</v>
      </c>
      <c r="D25">
        <v>30.14</v>
      </c>
      <c r="E25">
        <v>146.63</v>
      </c>
      <c r="F25">
        <v>199.4</v>
      </c>
      <c r="G25">
        <v>152.16</v>
      </c>
      <c r="H25">
        <v>340.6</v>
      </c>
      <c r="I25">
        <v>988.91</v>
      </c>
      <c r="J25">
        <v>305.06</v>
      </c>
      <c r="K25">
        <v>92.63</v>
      </c>
    </row>
    <row r="26" spans="1:11" s="6" customFormat="1" x14ac:dyDescent="0.25">
      <c r="A26" s="6" t="s">
        <v>10</v>
      </c>
      <c r="B26">
        <v>41.29</v>
      </c>
      <c r="C26">
        <v>45.53</v>
      </c>
      <c r="D26">
        <v>51.67</v>
      </c>
      <c r="E26">
        <v>247.24</v>
      </c>
      <c r="F26">
        <v>257.3</v>
      </c>
      <c r="G26">
        <v>310.82</v>
      </c>
      <c r="H26">
        <v>493.69</v>
      </c>
      <c r="I26">
        <v>671.11</v>
      </c>
      <c r="J26">
        <v>895.18</v>
      </c>
      <c r="K26">
        <v>1361.19</v>
      </c>
    </row>
    <row r="27" spans="1:11" s="6" customFormat="1" x14ac:dyDescent="0.25">
      <c r="A27" s="6" t="s">
        <v>11</v>
      </c>
      <c r="B27">
        <v>45.55</v>
      </c>
      <c r="C27">
        <v>43.78</v>
      </c>
      <c r="D27">
        <v>50.64</v>
      </c>
      <c r="E27">
        <v>263.37</v>
      </c>
      <c r="F27">
        <v>260.79000000000002</v>
      </c>
      <c r="G27">
        <v>324.83999999999997</v>
      </c>
      <c r="H27">
        <v>408.99</v>
      </c>
      <c r="I27">
        <v>367.66</v>
      </c>
      <c r="J27">
        <v>200.1</v>
      </c>
      <c r="K27">
        <v>168.35</v>
      </c>
    </row>
    <row r="28" spans="1:11" s="6" customFormat="1" x14ac:dyDescent="0.25">
      <c r="A28" s="6" t="s">
        <v>12</v>
      </c>
      <c r="B28">
        <v>128</v>
      </c>
      <c r="C28">
        <v>146.66</v>
      </c>
      <c r="D28">
        <v>168.47</v>
      </c>
      <c r="E28">
        <v>164.99</v>
      </c>
      <c r="F28">
        <v>-204.82</v>
      </c>
      <c r="G28">
        <v>111.22</v>
      </c>
      <c r="H28">
        <v>552.07000000000005</v>
      </c>
      <c r="I28">
        <v>1920.83</v>
      </c>
      <c r="J28">
        <v>2029.74</v>
      </c>
      <c r="K28">
        <v>2236.48</v>
      </c>
    </row>
    <row r="29" spans="1:11" s="6" customFormat="1" x14ac:dyDescent="0.25">
      <c r="A29" s="6" t="s">
        <v>13</v>
      </c>
      <c r="B29">
        <v>43.05</v>
      </c>
      <c r="C29">
        <v>59.62</v>
      </c>
      <c r="D29">
        <v>73.61</v>
      </c>
      <c r="E29">
        <v>59.01</v>
      </c>
      <c r="F29">
        <v>-23.69</v>
      </c>
      <c r="G29">
        <v>76.62</v>
      </c>
      <c r="H29">
        <v>158.44</v>
      </c>
      <c r="I29">
        <v>443.37</v>
      </c>
      <c r="J29">
        <v>495.33</v>
      </c>
      <c r="K29">
        <v>515.15</v>
      </c>
    </row>
    <row r="30" spans="1:11" s="6" customFormat="1" x14ac:dyDescent="0.25">
      <c r="A30" s="6" t="s">
        <v>14</v>
      </c>
      <c r="B30">
        <v>84.86</v>
      </c>
      <c r="C30">
        <v>86.97</v>
      </c>
      <c r="D30">
        <v>96.96</v>
      </c>
      <c r="E30">
        <v>122.85</v>
      </c>
      <c r="F30">
        <v>-146.16999999999999</v>
      </c>
      <c r="G30">
        <v>105.83</v>
      </c>
      <c r="H30">
        <v>444.63</v>
      </c>
      <c r="I30">
        <v>1486.8</v>
      </c>
      <c r="J30">
        <v>1546.72</v>
      </c>
      <c r="K30">
        <v>1719.65</v>
      </c>
    </row>
    <row r="31" spans="1:11" s="6" customFormat="1" x14ac:dyDescent="0.25">
      <c r="A31" s="6" t="s">
        <v>70</v>
      </c>
      <c r="B31">
        <v>33.229999999999997</v>
      </c>
      <c r="C31">
        <v>38.21</v>
      </c>
      <c r="D31">
        <v>43.2</v>
      </c>
      <c r="E31">
        <v>35.549999999999997</v>
      </c>
      <c r="F31">
        <v>21.33</v>
      </c>
      <c r="G31">
        <v>60.44</v>
      </c>
      <c r="H31">
        <v>78.209999999999994</v>
      </c>
      <c r="I31">
        <v>113.76</v>
      </c>
      <c r="J31">
        <v>177.75</v>
      </c>
      <c r="K31">
        <v>213.3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25">
      <c r="A42" s="6" t="s">
        <v>6</v>
      </c>
      <c r="B42">
        <v>3466.62</v>
      </c>
      <c r="C42">
        <v>3297.7</v>
      </c>
      <c r="D42">
        <v>4104.4399999999996</v>
      </c>
      <c r="E42">
        <v>4156.67</v>
      </c>
      <c r="F42">
        <v>4656.5600000000004</v>
      </c>
      <c r="G42">
        <v>4216.9399999999996</v>
      </c>
      <c r="H42">
        <v>4883.4799999999996</v>
      </c>
      <c r="I42">
        <v>4817.68</v>
      </c>
      <c r="J42">
        <v>5345.06</v>
      </c>
      <c r="K42">
        <v>5027.99</v>
      </c>
    </row>
    <row r="43" spans="1:11" s="6" customFormat="1" x14ac:dyDescent="0.25">
      <c r="A43" s="6" t="s">
        <v>7</v>
      </c>
      <c r="B43">
        <v>2838.1</v>
      </c>
      <c r="C43">
        <v>2828.06</v>
      </c>
      <c r="D43">
        <v>3491.09</v>
      </c>
      <c r="E43">
        <v>3510.95</v>
      </c>
      <c r="F43">
        <v>3809.19</v>
      </c>
      <c r="G43">
        <v>3566.03</v>
      </c>
      <c r="H43">
        <v>4035.62</v>
      </c>
      <c r="I43">
        <v>4001.7</v>
      </c>
      <c r="J43">
        <v>4263.99</v>
      </c>
      <c r="K43">
        <v>4116.6899999999996</v>
      </c>
    </row>
    <row r="44" spans="1:11" s="6" customFormat="1" x14ac:dyDescent="0.25">
      <c r="A44" s="6" t="s">
        <v>9</v>
      </c>
      <c r="B44">
        <v>110.01</v>
      </c>
      <c r="C44">
        <v>694.87</v>
      </c>
      <c r="D44">
        <v>100.91</v>
      </c>
      <c r="E44">
        <v>51.04</v>
      </c>
      <c r="F44">
        <v>79.87</v>
      </c>
      <c r="G44">
        <v>74.34</v>
      </c>
      <c r="H44">
        <v>49.8</v>
      </c>
      <c r="I44">
        <v>27.55</v>
      </c>
      <c r="J44">
        <v>4.55</v>
      </c>
      <c r="K44">
        <v>27.91</v>
      </c>
    </row>
    <row r="45" spans="1:11" s="6" customFormat="1" x14ac:dyDescent="0.25">
      <c r="A45" s="6" t="s">
        <v>10</v>
      </c>
      <c r="B45">
        <v>164.53</v>
      </c>
      <c r="C45">
        <v>212.94</v>
      </c>
      <c r="D45">
        <v>181.32</v>
      </c>
      <c r="E45">
        <v>196.95</v>
      </c>
      <c r="F45">
        <v>244.93</v>
      </c>
      <c r="G45">
        <v>271.98</v>
      </c>
      <c r="H45">
        <v>292.93</v>
      </c>
      <c r="I45">
        <v>324.93</v>
      </c>
      <c r="J45">
        <v>366.74</v>
      </c>
      <c r="K45">
        <v>376.59</v>
      </c>
    </row>
    <row r="46" spans="1:11" s="6" customFormat="1" x14ac:dyDescent="0.25">
      <c r="A46" s="6" t="s">
        <v>11</v>
      </c>
      <c r="B46">
        <v>98.81</v>
      </c>
      <c r="C46">
        <v>32.54</v>
      </c>
      <c r="D46">
        <v>31.55</v>
      </c>
      <c r="E46">
        <v>33</v>
      </c>
      <c r="F46">
        <v>36.520000000000003</v>
      </c>
      <c r="G46">
        <v>37.520000000000003</v>
      </c>
      <c r="H46">
        <v>40.04</v>
      </c>
      <c r="I46">
        <v>41.62</v>
      </c>
      <c r="J46">
        <v>42.94</v>
      </c>
      <c r="K46">
        <v>43.75</v>
      </c>
    </row>
    <row r="47" spans="1:11" s="6" customFormat="1" x14ac:dyDescent="0.25">
      <c r="A47" s="6" t="s">
        <v>12</v>
      </c>
      <c r="B47">
        <v>475.19</v>
      </c>
      <c r="C47">
        <v>919.03</v>
      </c>
      <c r="D47">
        <v>501.39</v>
      </c>
      <c r="E47">
        <v>466.81</v>
      </c>
      <c r="F47">
        <v>645.79</v>
      </c>
      <c r="G47">
        <v>415.75</v>
      </c>
      <c r="H47">
        <v>564.69000000000005</v>
      </c>
      <c r="I47">
        <v>476.98</v>
      </c>
      <c r="J47">
        <v>675.94</v>
      </c>
      <c r="K47">
        <v>518.87</v>
      </c>
    </row>
    <row r="48" spans="1:11" s="6" customFormat="1" x14ac:dyDescent="0.25">
      <c r="A48" s="6" t="s">
        <v>13</v>
      </c>
      <c r="B48">
        <v>104.55</v>
      </c>
      <c r="C48">
        <v>206.94</v>
      </c>
      <c r="D48">
        <v>110.18</v>
      </c>
      <c r="E48">
        <v>131.75</v>
      </c>
      <c r="F48">
        <v>149.25</v>
      </c>
      <c r="G48">
        <v>104.15</v>
      </c>
      <c r="H48">
        <v>139.99</v>
      </c>
      <c r="I48">
        <v>103.56</v>
      </c>
      <c r="J48">
        <v>165.83</v>
      </c>
      <c r="K48">
        <v>105.77</v>
      </c>
    </row>
    <row r="49" spans="1:11" s="6" customFormat="1" x14ac:dyDescent="0.25">
      <c r="A49" s="6" t="s">
        <v>14</v>
      </c>
      <c r="B49">
        <v>374.36</v>
      </c>
      <c r="C49">
        <v>704.23</v>
      </c>
      <c r="D49">
        <v>392.57</v>
      </c>
      <c r="E49">
        <v>338.75</v>
      </c>
      <c r="F49">
        <v>497.25</v>
      </c>
      <c r="G49">
        <v>318.14999999999998</v>
      </c>
      <c r="H49">
        <v>429.69</v>
      </c>
      <c r="I49">
        <v>376.86</v>
      </c>
      <c r="J49">
        <v>512.77</v>
      </c>
      <c r="K49">
        <v>400.33</v>
      </c>
    </row>
    <row r="50" spans="1:11" x14ac:dyDescent="0.25">
      <c r="A50" s="6" t="s">
        <v>8</v>
      </c>
      <c r="B50">
        <v>628.52</v>
      </c>
      <c r="C50">
        <v>469.64</v>
      </c>
      <c r="D50">
        <v>613.35</v>
      </c>
      <c r="E50">
        <v>645.72</v>
      </c>
      <c r="F50">
        <v>847.37</v>
      </c>
      <c r="G50">
        <v>650.91</v>
      </c>
      <c r="H50">
        <v>847.86</v>
      </c>
      <c r="I50">
        <v>815.98</v>
      </c>
      <c r="J50">
        <v>1081.07</v>
      </c>
      <c r="K50">
        <v>911.3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24</v>
      </c>
      <c r="B57">
        <v>33.229999999999997</v>
      </c>
      <c r="C57">
        <v>33.229999999999997</v>
      </c>
      <c r="D57">
        <v>33.229999999999997</v>
      </c>
      <c r="E57">
        <v>35.549999999999997</v>
      </c>
      <c r="F57">
        <v>35.549999999999997</v>
      </c>
      <c r="G57">
        <v>35.549999999999997</v>
      </c>
      <c r="H57">
        <v>35.549999999999997</v>
      </c>
      <c r="I57">
        <v>35.549999999999997</v>
      </c>
      <c r="J57">
        <v>35.549999999999997</v>
      </c>
      <c r="K57">
        <v>35.549999999999997</v>
      </c>
    </row>
    <row r="58" spans="1:11" x14ac:dyDescent="0.25">
      <c r="A58" s="6" t="s">
        <v>25</v>
      </c>
      <c r="B58">
        <v>1514.46</v>
      </c>
      <c r="C58">
        <v>1562.14</v>
      </c>
      <c r="D58">
        <v>1613.28</v>
      </c>
      <c r="E58">
        <v>2352.2199999999998</v>
      </c>
      <c r="F58">
        <v>2277.48</v>
      </c>
      <c r="G58">
        <v>2328.4499999999998</v>
      </c>
      <c r="H58">
        <v>2559.94</v>
      </c>
      <c r="I58">
        <v>4032.19</v>
      </c>
      <c r="J58">
        <v>5426.19</v>
      </c>
      <c r="K58">
        <v>6949.13</v>
      </c>
    </row>
    <row r="59" spans="1:11" x14ac:dyDescent="0.25">
      <c r="A59" s="6" t="s">
        <v>71</v>
      </c>
      <c r="B59">
        <v>391.74</v>
      </c>
      <c r="C59">
        <v>391.43</v>
      </c>
      <c r="D59">
        <v>494.14</v>
      </c>
      <c r="E59">
        <v>299.74</v>
      </c>
      <c r="F59">
        <v>2963.63</v>
      </c>
      <c r="G59">
        <v>4725.3599999999997</v>
      </c>
      <c r="H59">
        <v>4464.1400000000003</v>
      </c>
      <c r="I59">
        <v>1752.99</v>
      </c>
      <c r="J59">
        <v>2237.19</v>
      </c>
      <c r="K59">
        <v>2561.25</v>
      </c>
    </row>
    <row r="60" spans="1:11" x14ac:dyDescent="0.25">
      <c r="A60" s="6" t="s">
        <v>72</v>
      </c>
      <c r="B60">
        <v>282.82</v>
      </c>
      <c r="C60">
        <v>349.06</v>
      </c>
      <c r="D60">
        <v>418.11</v>
      </c>
      <c r="E60">
        <v>2819.17</v>
      </c>
      <c r="F60">
        <v>447.07</v>
      </c>
      <c r="G60">
        <v>636.66</v>
      </c>
      <c r="H60">
        <v>1021.9</v>
      </c>
      <c r="I60">
        <v>1341.02</v>
      </c>
      <c r="J60">
        <v>1720.71</v>
      </c>
      <c r="K60">
        <v>2182.65</v>
      </c>
    </row>
    <row r="61" spans="1:11" s="1" customFormat="1" x14ac:dyDescent="0.25">
      <c r="A61" s="1" t="s">
        <v>26</v>
      </c>
      <c r="B61">
        <v>2222.25</v>
      </c>
      <c r="C61">
        <v>2335.86</v>
      </c>
      <c r="D61">
        <v>2558.7600000000002</v>
      </c>
      <c r="E61">
        <v>5506.68</v>
      </c>
      <c r="F61">
        <v>5723.73</v>
      </c>
      <c r="G61">
        <v>7726.02</v>
      </c>
      <c r="H61">
        <v>8081.53</v>
      </c>
      <c r="I61">
        <v>7161.75</v>
      </c>
      <c r="J61">
        <v>9419.64</v>
      </c>
      <c r="K61">
        <v>11728.58</v>
      </c>
    </row>
    <row r="62" spans="1:11" x14ac:dyDescent="0.25">
      <c r="A62" s="6" t="s">
        <v>27</v>
      </c>
      <c r="B62">
        <v>548.71</v>
      </c>
      <c r="C62">
        <v>612.53</v>
      </c>
      <c r="D62">
        <v>662.18</v>
      </c>
      <c r="E62">
        <v>2738.43</v>
      </c>
      <c r="F62">
        <v>3053.82</v>
      </c>
      <c r="G62">
        <v>4686.71</v>
      </c>
      <c r="H62">
        <v>4526.95</v>
      </c>
      <c r="I62">
        <v>2449.92</v>
      </c>
      <c r="J62">
        <v>3895.13</v>
      </c>
      <c r="K62">
        <v>5518.74</v>
      </c>
    </row>
    <row r="63" spans="1:11" x14ac:dyDescent="0.25">
      <c r="A63" s="6" t="s">
        <v>28</v>
      </c>
      <c r="B63">
        <v>5.48</v>
      </c>
      <c r="C63">
        <v>9.59</v>
      </c>
      <c r="D63">
        <v>87.18</v>
      </c>
      <c r="E63">
        <v>23.32</v>
      </c>
      <c r="F63">
        <v>107.98</v>
      </c>
      <c r="G63">
        <v>104.72</v>
      </c>
      <c r="H63">
        <v>101.72</v>
      </c>
      <c r="I63">
        <v>223.78</v>
      </c>
      <c r="J63">
        <v>179.5</v>
      </c>
      <c r="K63">
        <v>253.99</v>
      </c>
    </row>
    <row r="64" spans="1:11" x14ac:dyDescent="0.25">
      <c r="A64" s="6" t="s">
        <v>29</v>
      </c>
      <c r="B64">
        <v>1079.96</v>
      </c>
      <c r="C64">
        <v>1022.88</v>
      </c>
      <c r="D64">
        <v>882.83</v>
      </c>
      <c r="E64">
        <v>1514.78</v>
      </c>
      <c r="F64">
        <v>1487.29</v>
      </c>
      <c r="G64">
        <v>1283.72</v>
      </c>
      <c r="H64">
        <v>1109.8699999999999</v>
      </c>
      <c r="I64">
        <v>1416.03</v>
      </c>
      <c r="J64">
        <v>1480.25</v>
      </c>
      <c r="K64">
        <v>1384.91</v>
      </c>
    </row>
    <row r="65" spans="1:11" x14ac:dyDescent="0.25">
      <c r="A65" s="6" t="s">
        <v>73</v>
      </c>
      <c r="B65">
        <v>588.1</v>
      </c>
      <c r="C65">
        <v>690.86</v>
      </c>
      <c r="D65">
        <v>926.57</v>
      </c>
      <c r="E65">
        <v>1230.1500000000001</v>
      </c>
      <c r="F65">
        <v>1074.6400000000001</v>
      </c>
      <c r="G65">
        <v>1650.87</v>
      </c>
      <c r="H65">
        <v>2342.9899999999998</v>
      </c>
      <c r="I65">
        <v>3072.02</v>
      </c>
      <c r="J65">
        <v>3864.76</v>
      </c>
      <c r="K65">
        <v>4570.9399999999996</v>
      </c>
    </row>
    <row r="66" spans="1:11" s="1" customFormat="1" x14ac:dyDescent="0.25">
      <c r="A66" s="1" t="s">
        <v>26</v>
      </c>
      <c r="B66">
        <v>2222.25</v>
      </c>
      <c r="C66">
        <v>2335.86</v>
      </c>
      <c r="D66">
        <v>2558.7600000000002</v>
      </c>
      <c r="E66">
        <v>5506.68</v>
      </c>
      <c r="F66">
        <v>5723.73</v>
      </c>
      <c r="G66">
        <v>7726.02</v>
      </c>
      <c r="H66">
        <v>8081.53</v>
      </c>
      <c r="I66">
        <v>7161.75</v>
      </c>
      <c r="J66">
        <v>9419.64</v>
      </c>
      <c r="K66">
        <v>11728.58</v>
      </c>
    </row>
    <row r="67" spans="1:11" s="6" customFormat="1" x14ac:dyDescent="0.25">
      <c r="A67" s="6" t="s">
        <v>78</v>
      </c>
      <c r="B67">
        <v>5.92</v>
      </c>
      <c r="C67">
        <v>15.1</v>
      </c>
      <c r="D67">
        <v>16.54</v>
      </c>
      <c r="E67">
        <v>17.12</v>
      </c>
      <c r="F67">
        <v>20.77</v>
      </c>
      <c r="G67">
        <v>18.260000000000002</v>
      </c>
      <c r="H67">
        <v>34.39</v>
      </c>
      <c r="I67">
        <v>81.739999999999995</v>
      </c>
      <c r="J67">
        <v>62.95</v>
      </c>
      <c r="K67">
        <v>51.14</v>
      </c>
    </row>
    <row r="68" spans="1:11" x14ac:dyDescent="0.25">
      <c r="A68" s="6" t="s">
        <v>45</v>
      </c>
      <c r="B68">
        <v>305.36</v>
      </c>
      <c r="C68">
        <v>344.77</v>
      </c>
      <c r="D68">
        <v>497.01</v>
      </c>
      <c r="E68">
        <v>607.80999999999995</v>
      </c>
      <c r="F68">
        <v>428.39</v>
      </c>
      <c r="G68">
        <v>867.78</v>
      </c>
      <c r="H68">
        <v>1361.16</v>
      </c>
      <c r="I68">
        <v>1582.73</v>
      </c>
      <c r="J68">
        <v>2045.05</v>
      </c>
      <c r="K68">
        <v>2289.0100000000002</v>
      </c>
    </row>
    <row r="69" spans="1:11" x14ac:dyDescent="0.25">
      <c r="A69" s="4" t="s">
        <v>87</v>
      </c>
      <c r="B69">
        <v>34.28</v>
      </c>
      <c r="C69">
        <v>32.81</v>
      </c>
      <c r="D69">
        <v>54.23</v>
      </c>
      <c r="E69">
        <v>61.41</v>
      </c>
      <c r="F69">
        <v>81.47</v>
      </c>
      <c r="G69">
        <v>85.97</v>
      </c>
      <c r="H69">
        <v>86.3</v>
      </c>
      <c r="I69">
        <v>297.56</v>
      </c>
      <c r="J69">
        <v>339.84</v>
      </c>
      <c r="K69">
        <v>283</v>
      </c>
    </row>
    <row r="70" spans="1:11" x14ac:dyDescent="0.25">
      <c r="A70" s="4" t="s">
        <v>74</v>
      </c>
      <c r="B70">
        <v>332316730</v>
      </c>
      <c r="C70">
        <v>332316730</v>
      </c>
      <c r="D70">
        <v>332316730</v>
      </c>
      <c r="E70">
        <v>355487461</v>
      </c>
      <c r="F70">
        <v>355487461</v>
      </c>
      <c r="G70">
        <v>355487461</v>
      </c>
      <c r="H70">
        <v>355487461</v>
      </c>
      <c r="I70">
        <v>355487461</v>
      </c>
      <c r="J70">
        <v>355487461</v>
      </c>
      <c r="K70"/>
    </row>
    <row r="71" spans="1:11" x14ac:dyDescent="0.25">
      <c r="A71" s="4" t="s">
        <v>75</v>
      </c>
    </row>
    <row r="72" spans="1:11" x14ac:dyDescent="0.2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32</v>
      </c>
      <c r="B82">
        <v>102.44</v>
      </c>
      <c r="C82">
        <v>76.86</v>
      </c>
      <c r="D82">
        <v>20.98</v>
      </c>
      <c r="E82">
        <v>361.16</v>
      </c>
      <c r="F82">
        <v>285.02999999999997</v>
      </c>
      <c r="G82">
        <v>58.08</v>
      </c>
      <c r="H82">
        <v>594.88</v>
      </c>
      <c r="I82">
        <v>1348.98</v>
      </c>
      <c r="J82">
        <v>1660.9</v>
      </c>
      <c r="K82">
        <v>2667.62</v>
      </c>
    </row>
    <row r="83" spans="1:11" s="6" customFormat="1" x14ac:dyDescent="0.25">
      <c r="A83" s="6" t="s">
        <v>33</v>
      </c>
      <c r="B83">
        <v>-43.7</v>
      </c>
      <c r="C83">
        <v>-4.0199999999999996</v>
      </c>
      <c r="D83">
        <v>-37.03</v>
      </c>
      <c r="E83">
        <v>-808.56</v>
      </c>
      <c r="F83">
        <v>17.71</v>
      </c>
      <c r="G83">
        <v>56.03</v>
      </c>
      <c r="H83">
        <v>-102.63</v>
      </c>
      <c r="I83">
        <v>-508.21</v>
      </c>
      <c r="J83">
        <v>-923.31</v>
      </c>
      <c r="K83">
        <v>-1578.36</v>
      </c>
    </row>
    <row r="84" spans="1:11" s="6" customFormat="1" x14ac:dyDescent="0.25">
      <c r="A84" s="6" t="s">
        <v>34</v>
      </c>
      <c r="B84">
        <v>-51.36</v>
      </c>
      <c r="C84">
        <v>-74.31</v>
      </c>
      <c r="D84">
        <v>37.47</v>
      </c>
      <c r="E84">
        <v>451.94</v>
      </c>
      <c r="F84">
        <v>-283.11</v>
      </c>
      <c r="G84">
        <v>-107.98</v>
      </c>
      <c r="H84">
        <v>-491.41</v>
      </c>
      <c r="I84">
        <v>-629.45000000000005</v>
      </c>
      <c r="J84">
        <v>-693.67</v>
      </c>
      <c r="K84">
        <v>-1147.6099999999999</v>
      </c>
    </row>
    <row r="85" spans="1:11" s="1" customFormat="1" x14ac:dyDescent="0.25">
      <c r="A85" s="6" t="s">
        <v>35</v>
      </c>
      <c r="B85">
        <v>7.38</v>
      </c>
      <c r="C85">
        <v>-1.47</v>
      </c>
      <c r="D85">
        <v>21.42</v>
      </c>
      <c r="E85">
        <v>4.54</v>
      </c>
      <c r="F85">
        <v>19.63</v>
      </c>
      <c r="G85">
        <v>6.13</v>
      </c>
      <c r="H85">
        <v>0.84</v>
      </c>
      <c r="I85">
        <v>211.32</v>
      </c>
      <c r="J85">
        <v>43.92</v>
      </c>
      <c r="K85">
        <v>-58.35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266.7</v>
      </c>
      <c r="C90">
        <v>345.05</v>
      </c>
      <c r="D90">
        <v>361.9</v>
      </c>
      <c r="E90">
        <v>484.35</v>
      </c>
      <c r="F90">
        <v>751.05</v>
      </c>
      <c r="G90">
        <v>1275.5</v>
      </c>
      <c r="H90">
        <v>1374.95</v>
      </c>
      <c r="I90">
        <v>3948</v>
      </c>
      <c r="J90">
        <v>5325.15</v>
      </c>
      <c r="K90">
        <v>3295.8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33.229999999999997</v>
      </c>
      <c r="C93" s="24">
        <v>33.229999999999997</v>
      </c>
      <c r="D93" s="24">
        <v>33.229999999999997</v>
      </c>
      <c r="E93" s="24">
        <v>35.549999999999997</v>
      </c>
      <c r="F93" s="24">
        <v>35.549999999999997</v>
      </c>
      <c r="G93" s="24">
        <v>35.549999999999997</v>
      </c>
      <c r="H93" s="24">
        <v>35.549999999999997</v>
      </c>
      <c r="I93" s="24">
        <v>35.549999999999997</v>
      </c>
      <c r="J93" s="24">
        <v>35.549999999999997</v>
      </c>
      <c r="K93" s="24">
        <v>35.549999999999997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6B70-DA79-4EAB-97CB-B83024C3BE79}">
  <sheetPr>
    <tabColor rgb="FFC00000"/>
  </sheetPr>
  <dimension ref="B4:J43"/>
  <sheetViews>
    <sheetView showGridLines="0" workbookViewId="0">
      <selection activeCell="I53" sqref="I53"/>
    </sheetView>
  </sheetViews>
  <sheetFormatPr defaultRowHeight="15" x14ac:dyDescent="0.25"/>
  <cols>
    <col min="2" max="2" width="24.85546875" bestFit="1" customWidth="1"/>
  </cols>
  <sheetData>
    <row r="4" spans="2:10" x14ac:dyDescent="0.25">
      <c r="B4" s="25" t="s">
        <v>205</v>
      </c>
      <c r="C4" s="129">
        <v>44256</v>
      </c>
      <c r="D4" s="129">
        <v>44621</v>
      </c>
      <c r="E4" s="129">
        <v>44986</v>
      </c>
      <c r="F4" s="129">
        <v>45352</v>
      </c>
      <c r="G4" s="129">
        <v>45717</v>
      </c>
    </row>
    <row r="5" spans="2:10" x14ac:dyDescent="0.25">
      <c r="B5" s="2" t="s">
        <v>216</v>
      </c>
      <c r="C5">
        <v>36</v>
      </c>
      <c r="D5">
        <v>36</v>
      </c>
      <c r="E5">
        <v>36</v>
      </c>
      <c r="F5">
        <v>36</v>
      </c>
      <c r="G5">
        <v>36</v>
      </c>
    </row>
    <row r="6" spans="2:10" x14ac:dyDescent="0.25">
      <c r="B6" s="2" t="s">
        <v>25</v>
      </c>
      <c r="C6" s="101">
        <v>2277</v>
      </c>
      <c r="D6" s="101">
        <v>2328</v>
      </c>
      <c r="E6" s="101">
        <v>2560</v>
      </c>
      <c r="F6" s="101">
        <v>4032</v>
      </c>
      <c r="G6" s="101">
        <v>5426</v>
      </c>
    </row>
    <row r="7" spans="2:10" x14ac:dyDescent="0.25">
      <c r="B7" s="2" t="s">
        <v>217</v>
      </c>
      <c r="C7" s="101"/>
      <c r="D7" s="101"/>
      <c r="E7" s="101"/>
      <c r="F7" s="101"/>
      <c r="G7" s="101"/>
      <c r="J7" s="101"/>
    </row>
    <row r="8" spans="2:10" x14ac:dyDescent="0.25">
      <c r="B8" s="130" t="s">
        <v>218</v>
      </c>
      <c r="C8" s="130">
        <v>0</v>
      </c>
      <c r="D8" s="130">
        <v>497</v>
      </c>
      <c r="E8" s="130">
        <v>498</v>
      </c>
      <c r="F8" s="130">
        <v>499</v>
      </c>
      <c r="G8" s="130">
        <v>499</v>
      </c>
    </row>
    <row r="9" spans="2:10" x14ac:dyDescent="0.25">
      <c r="B9" s="131" t="s">
        <v>219</v>
      </c>
      <c r="C9" s="131">
        <v>300</v>
      </c>
      <c r="D9" s="131">
        <v>0</v>
      </c>
      <c r="E9" s="131">
        <v>0</v>
      </c>
      <c r="F9" s="131">
        <v>0</v>
      </c>
      <c r="G9" s="131">
        <v>0</v>
      </c>
    </row>
    <row r="10" spans="2:10" x14ac:dyDescent="0.25">
      <c r="B10" s="132" t="s">
        <v>220</v>
      </c>
      <c r="C10" s="133">
        <v>2664</v>
      </c>
      <c r="D10" s="133">
        <v>4228</v>
      </c>
      <c r="E10" s="133">
        <v>3966</v>
      </c>
      <c r="F10" s="133">
        <v>1254</v>
      </c>
      <c r="G10" s="133">
        <v>1738</v>
      </c>
    </row>
    <row r="11" spans="2:10" x14ac:dyDescent="0.25">
      <c r="B11" t="s">
        <v>221</v>
      </c>
      <c r="C11">
        <v>44</v>
      </c>
      <c r="D11">
        <v>46</v>
      </c>
      <c r="E11">
        <v>67</v>
      </c>
      <c r="F11">
        <v>35</v>
      </c>
      <c r="G11">
        <v>122</v>
      </c>
    </row>
    <row r="12" spans="2:10" x14ac:dyDescent="0.25">
      <c r="B12" t="s">
        <v>222</v>
      </c>
      <c r="C12">
        <v>275</v>
      </c>
      <c r="D12">
        <v>378</v>
      </c>
      <c r="E12">
        <v>665</v>
      </c>
      <c r="F12">
        <v>774</v>
      </c>
      <c r="G12">
        <v>928</v>
      </c>
    </row>
    <row r="13" spans="2:10" x14ac:dyDescent="0.25">
      <c r="B13" t="s">
        <v>223</v>
      </c>
      <c r="C13">
        <v>128</v>
      </c>
      <c r="D13">
        <v>213</v>
      </c>
      <c r="E13">
        <v>289</v>
      </c>
      <c r="F13">
        <v>532</v>
      </c>
      <c r="G13">
        <v>671</v>
      </c>
    </row>
    <row r="14" spans="2:10" ht="15.75" thickBot="1" x14ac:dyDescent="0.3">
      <c r="B14" s="134" t="s">
        <v>224</v>
      </c>
      <c r="C14" s="135">
        <v>5724</v>
      </c>
      <c r="D14" s="135">
        <v>7726</v>
      </c>
      <c r="E14" s="135">
        <v>8082</v>
      </c>
      <c r="F14" s="135">
        <v>7162</v>
      </c>
      <c r="G14" s="135">
        <v>9420</v>
      </c>
    </row>
    <row r="15" spans="2:10" ht="15.75" thickTop="1" x14ac:dyDescent="0.25">
      <c r="B15" s="2"/>
      <c r="C15" s="102"/>
      <c r="D15" s="102"/>
      <c r="E15" s="102"/>
      <c r="F15" s="102"/>
      <c r="G15" s="102"/>
    </row>
    <row r="16" spans="2:10" x14ac:dyDescent="0.25">
      <c r="B16" s="2" t="s">
        <v>225</v>
      </c>
      <c r="C16" s="102"/>
      <c r="D16" s="102"/>
      <c r="E16" s="102"/>
      <c r="F16" s="102"/>
      <c r="G16" s="102"/>
    </row>
    <row r="17" spans="2:7" x14ac:dyDescent="0.25">
      <c r="B17" s="130" t="s">
        <v>226</v>
      </c>
      <c r="C17" s="130">
        <v>63</v>
      </c>
      <c r="D17" s="130">
        <v>62</v>
      </c>
      <c r="E17" s="130">
        <v>77</v>
      </c>
      <c r="F17" s="130">
        <v>86</v>
      </c>
      <c r="G17" s="130">
        <v>86</v>
      </c>
    </row>
    <row r="18" spans="2:7" x14ac:dyDescent="0.25">
      <c r="B18" s="131" t="s">
        <v>227</v>
      </c>
      <c r="C18" s="136">
        <v>3117</v>
      </c>
      <c r="D18" s="136">
        <v>4893</v>
      </c>
      <c r="E18" s="136">
        <v>4855</v>
      </c>
      <c r="F18" s="136">
        <v>2162</v>
      </c>
      <c r="G18" s="136">
        <v>3664</v>
      </c>
    </row>
    <row r="19" spans="2:7" x14ac:dyDescent="0.25">
      <c r="B19" s="131" t="s">
        <v>228</v>
      </c>
      <c r="C19" s="131">
        <v>168</v>
      </c>
      <c r="D19" s="131">
        <v>221</v>
      </c>
      <c r="E19" s="131">
        <v>287</v>
      </c>
      <c r="F19" s="131">
        <v>437</v>
      </c>
      <c r="G19" s="131">
        <v>825</v>
      </c>
    </row>
    <row r="20" spans="2:7" x14ac:dyDescent="0.25">
      <c r="B20" s="131" t="s">
        <v>229</v>
      </c>
      <c r="C20" s="131">
        <v>30</v>
      </c>
      <c r="D20" s="131">
        <v>33</v>
      </c>
      <c r="E20" s="131">
        <v>39</v>
      </c>
      <c r="F20" s="131">
        <v>44</v>
      </c>
      <c r="G20" s="131">
        <v>56</v>
      </c>
    </row>
    <row r="21" spans="2:7" x14ac:dyDescent="0.25">
      <c r="B21" s="131" t="s">
        <v>230</v>
      </c>
      <c r="C21" s="131">
        <v>59</v>
      </c>
      <c r="D21" s="131">
        <v>70</v>
      </c>
      <c r="E21" s="131">
        <v>98</v>
      </c>
      <c r="F21" s="131">
        <v>112</v>
      </c>
      <c r="G21" s="131">
        <v>175</v>
      </c>
    </row>
    <row r="22" spans="2:7" x14ac:dyDescent="0.25">
      <c r="B22" s="131" t="s">
        <v>231</v>
      </c>
      <c r="C22" s="131">
        <v>192</v>
      </c>
      <c r="D22" s="131">
        <v>225</v>
      </c>
      <c r="E22" s="131">
        <v>328</v>
      </c>
      <c r="F22" s="131">
        <v>486</v>
      </c>
      <c r="G22" s="131">
        <v>758</v>
      </c>
    </row>
    <row r="23" spans="2:7" x14ac:dyDescent="0.25">
      <c r="B23" s="131" t="s">
        <v>232</v>
      </c>
      <c r="C23" s="131">
        <v>3</v>
      </c>
      <c r="D23" s="131">
        <v>3</v>
      </c>
      <c r="E23" s="131">
        <v>3</v>
      </c>
      <c r="F23" s="131">
        <v>3</v>
      </c>
      <c r="G23" s="131">
        <v>4</v>
      </c>
    </row>
    <row r="24" spans="2:7" x14ac:dyDescent="0.25">
      <c r="B24" s="131" t="s">
        <v>233</v>
      </c>
      <c r="C24" s="131">
        <v>62</v>
      </c>
      <c r="D24" s="131">
        <v>62</v>
      </c>
      <c r="E24" s="131">
        <v>62</v>
      </c>
      <c r="F24" s="131">
        <v>62</v>
      </c>
      <c r="G24" s="131">
        <v>62</v>
      </c>
    </row>
    <row r="25" spans="2:7" x14ac:dyDescent="0.25">
      <c r="B25" s="131" t="s">
        <v>234</v>
      </c>
      <c r="C25" s="131">
        <v>70</v>
      </c>
      <c r="D25" s="131">
        <v>78</v>
      </c>
      <c r="E25" s="131">
        <v>92</v>
      </c>
      <c r="F25" s="131">
        <v>92</v>
      </c>
      <c r="G25" s="131">
        <v>98</v>
      </c>
    </row>
    <row r="26" spans="2:7" x14ac:dyDescent="0.25">
      <c r="B26" s="142" t="s">
        <v>235</v>
      </c>
      <c r="C26" s="143">
        <v>3765</v>
      </c>
      <c r="D26" s="143">
        <v>5647</v>
      </c>
      <c r="E26" s="143">
        <v>5840</v>
      </c>
      <c r="F26" s="143">
        <v>3485</v>
      </c>
      <c r="G26" s="143">
        <v>5730</v>
      </c>
    </row>
    <row r="27" spans="2:7" x14ac:dyDescent="0.25">
      <c r="B27" s="138" t="s">
        <v>236</v>
      </c>
      <c r="C27" s="138">
        <v>711</v>
      </c>
      <c r="D27" s="138">
        <v>961</v>
      </c>
      <c r="E27" s="139">
        <v>1314</v>
      </c>
      <c r="F27" s="139">
        <v>1035</v>
      </c>
      <c r="G27" s="139">
        <v>1835</v>
      </c>
    </row>
    <row r="28" spans="2:7" x14ac:dyDescent="0.25">
      <c r="B28" s="2"/>
      <c r="C28" s="2"/>
      <c r="D28" s="2"/>
      <c r="E28" s="102"/>
      <c r="F28" s="102"/>
      <c r="G28" s="102"/>
    </row>
    <row r="29" spans="2:7" ht="15.75" thickBot="1" x14ac:dyDescent="0.3">
      <c r="B29" s="140" t="s">
        <v>113</v>
      </c>
      <c r="C29" s="141">
        <f>C26-C27</f>
        <v>3054</v>
      </c>
      <c r="D29" s="141">
        <f t="shared" ref="D29:G29" si="0">D26-D27</f>
        <v>4686</v>
      </c>
      <c r="E29" s="141">
        <f t="shared" si="0"/>
        <v>4526</v>
      </c>
      <c r="F29" s="141">
        <f t="shared" si="0"/>
        <v>2450</v>
      </c>
      <c r="G29" s="141">
        <f t="shared" si="0"/>
        <v>3895</v>
      </c>
    </row>
    <row r="30" spans="2:7" x14ac:dyDescent="0.25">
      <c r="B30" s="2"/>
      <c r="C30" s="102"/>
      <c r="D30" s="102"/>
      <c r="E30" s="102"/>
      <c r="F30" s="102"/>
      <c r="G30" s="102"/>
    </row>
    <row r="31" spans="2:7" x14ac:dyDescent="0.25">
      <c r="B31" s="137" t="s">
        <v>237</v>
      </c>
      <c r="C31" s="137">
        <v>108</v>
      </c>
      <c r="D31" s="137">
        <v>105</v>
      </c>
      <c r="E31" s="137">
        <v>102</v>
      </c>
      <c r="F31" s="137">
        <v>224</v>
      </c>
      <c r="G31" s="137">
        <v>180</v>
      </c>
    </row>
    <row r="32" spans="2:7" x14ac:dyDescent="0.25">
      <c r="B32" s="132" t="s">
        <v>29</v>
      </c>
      <c r="C32" s="133">
        <v>1487</v>
      </c>
      <c r="D32" s="133">
        <v>1284</v>
      </c>
      <c r="E32" s="133">
        <v>1110</v>
      </c>
      <c r="F32" s="133">
        <v>1416</v>
      </c>
      <c r="G32" s="133">
        <v>1480</v>
      </c>
    </row>
    <row r="33" spans="2:7" x14ac:dyDescent="0.25">
      <c r="C33" s="101"/>
      <c r="D33" s="101"/>
      <c r="E33" s="101"/>
      <c r="F33" s="101"/>
      <c r="G33" s="101"/>
    </row>
    <row r="34" spans="2:7" x14ac:dyDescent="0.25">
      <c r="B34" s="2" t="s">
        <v>114</v>
      </c>
      <c r="C34" s="101"/>
      <c r="D34" s="101"/>
      <c r="E34" s="101"/>
      <c r="F34" s="101"/>
      <c r="G34" s="101"/>
    </row>
    <row r="35" spans="2:7" x14ac:dyDescent="0.25">
      <c r="B35" s="130" t="s">
        <v>238</v>
      </c>
      <c r="C35" s="130">
        <v>428</v>
      </c>
      <c r="D35" s="130">
        <v>868</v>
      </c>
      <c r="E35" s="146">
        <v>1361</v>
      </c>
      <c r="F35" s="146">
        <v>1583</v>
      </c>
      <c r="G35" s="146">
        <v>2045</v>
      </c>
    </row>
    <row r="36" spans="2:7" x14ac:dyDescent="0.25">
      <c r="B36" s="131" t="s">
        <v>239</v>
      </c>
      <c r="C36" s="131">
        <v>21</v>
      </c>
      <c r="D36" s="131">
        <v>18</v>
      </c>
      <c r="E36" s="131">
        <v>34</v>
      </c>
      <c r="F36" s="131">
        <v>82</v>
      </c>
      <c r="G36" s="131">
        <v>63</v>
      </c>
    </row>
    <row r="37" spans="2:7" x14ac:dyDescent="0.25">
      <c r="B37" s="131" t="s">
        <v>240</v>
      </c>
      <c r="C37" s="131">
        <v>81</v>
      </c>
      <c r="D37" s="131">
        <v>86</v>
      </c>
      <c r="E37" s="131">
        <v>86</v>
      </c>
      <c r="F37" s="131">
        <v>298</v>
      </c>
      <c r="G37" s="131">
        <v>340</v>
      </c>
    </row>
    <row r="38" spans="2:7" x14ac:dyDescent="0.25">
      <c r="B38" s="131" t="s">
        <v>241</v>
      </c>
      <c r="C38" s="131">
        <v>28</v>
      </c>
      <c r="D38" s="131">
        <v>29</v>
      </c>
      <c r="E38" s="131">
        <v>29</v>
      </c>
      <c r="F38" s="131">
        <v>35</v>
      </c>
      <c r="G38" s="131">
        <v>17</v>
      </c>
    </row>
    <row r="39" spans="2:7" x14ac:dyDescent="0.25">
      <c r="B39" s="131" t="s">
        <v>242</v>
      </c>
      <c r="C39" s="131">
        <v>516</v>
      </c>
      <c r="D39" s="131">
        <v>650</v>
      </c>
      <c r="E39" s="131">
        <v>832</v>
      </c>
      <c r="F39" s="136">
        <v>1075</v>
      </c>
      <c r="G39" s="136">
        <v>1400</v>
      </c>
    </row>
    <row r="40" spans="2:7" x14ac:dyDescent="0.25">
      <c r="B40" s="147" t="s">
        <v>243</v>
      </c>
      <c r="C40" s="147">
        <f>SUM(C35:C39)</f>
        <v>1074</v>
      </c>
      <c r="D40" s="147">
        <f t="shared" ref="D40:G40" si="1">SUM(D35:D39)</f>
        <v>1651</v>
      </c>
      <c r="E40" s="147">
        <f t="shared" si="1"/>
        <v>2342</v>
      </c>
      <c r="F40" s="147">
        <f t="shared" si="1"/>
        <v>3073</v>
      </c>
      <c r="G40" s="147">
        <f t="shared" si="1"/>
        <v>3865</v>
      </c>
    </row>
    <row r="41" spans="2:7" ht="15.75" thickBot="1" x14ac:dyDescent="0.3"/>
    <row r="42" spans="2:7" ht="15.75" thickBot="1" x14ac:dyDescent="0.3">
      <c r="B42" s="144" t="s">
        <v>115</v>
      </c>
      <c r="C42" s="145">
        <v>5724</v>
      </c>
      <c r="D42" s="145">
        <v>7726</v>
      </c>
      <c r="E42" s="145">
        <v>8082</v>
      </c>
      <c r="F42" s="145">
        <v>7162</v>
      </c>
      <c r="G42" s="145">
        <v>9420</v>
      </c>
    </row>
    <row r="43" spans="2:7" ht="15.75" thickTop="1" x14ac:dyDescent="0.25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0AB8-CFDB-4BD1-8030-E2175B6B46D5}">
  <dimension ref="B2:H23"/>
  <sheetViews>
    <sheetView showGridLines="0" workbookViewId="0">
      <selection activeCell="F9" sqref="F9:H9"/>
    </sheetView>
  </sheetViews>
  <sheetFormatPr defaultRowHeight="15" outlineLevelRow="1" x14ac:dyDescent="0.25"/>
  <cols>
    <col min="1" max="1" width="1.85546875" customWidth="1"/>
    <col min="2" max="2" width="24.7109375" bestFit="1" customWidth="1"/>
    <col min="3" max="3" width="8.28515625" customWidth="1"/>
    <col min="4" max="8" width="9.85546875" customWidth="1"/>
  </cols>
  <sheetData>
    <row r="2" spans="2:8" x14ac:dyDescent="0.25">
      <c r="B2" s="107" t="s">
        <v>116</v>
      </c>
      <c r="C2" s="107"/>
      <c r="D2" s="107"/>
      <c r="E2" s="107"/>
      <c r="F2" s="107"/>
      <c r="G2" s="107"/>
      <c r="H2" s="107"/>
    </row>
    <row r="4" spans="2:8" outlineLevel="1" x14ac:dyDescent="0.25">
      <c r="B4" s="25" t="s">
        <v>125</v>
      </c>
      <c r="C4" s="25"/>
      <c r="D4" s="48" t="s">
        <v>126</v>
      </c>
      <c r="E4" s="25"/>
      <c r="F4" s="109" t="s">
        <v>127</v>
      </c>
      <c r="G4" s="109"/>
      <c r="H4" s="109"/>
    </row>
    <row r="5" spans="2:8" outlineLevel="1" x14ac:dyDescent="0.25">
      <c r="B5" t="s">
        <v>117</v>
      </c>
    </row>
    <row r="6" spans="2:8" outlineLevel="1" x14ac:dyDescent="0.25">
      <c r="B6" t="s">
        <v>118</v>
      </c>
    </row>
    <row r="7" spans="2:8" outlineLevel="1" x14ac:dyDescent="0.25">
      <c r="B7" t="s">
        <v>119</v>
      </c>
      <c r="D7" s="49">
        <v>0.25</v>
      </c>
      <c r="F7" s="110" t="s">
        <v>128</v>
      </c>
      <c r="G7" s="110"/>
      <c r="H7" s="110"/>
    </row>
    <row r="8" spans="2:8" outlineLevel="1" x14ac:dyDescent="0.25">
      <c r="B8" t="s">
        <v>120</v>
      </c>
      <c r="D8" s="49">
        <v>0.02</v>
      </c>
      <c r="F8" s="110"/>
      <c r="G8" s="110"/>
      <c r="H8" s="110"/>
    </row>
    <row r="9" spans="2:8" outlineLevel="1" x14ac:dyDescent="0.25">
      <c r="B9" t="s">
        <v>121</v>
      </c>
      <c r="D9" s="49">
        <v>0.05</v>
      </c>
      <c r="F9" s="62"/>
      <c r="G9" s="62"/>
      <c r="H9" s="62"/>
    </row>
    <row r="10" spans="2:8" outlineLevel="1" x14ac:dyDescent="0.25">
      <c r="B10" t="s">
        <v>122</v>
      </c>
      <c r="D10" s="56">
        <v>6.5</v>
      </c>
      <c r="F10" s="110" t="s">
        <v>174</v>
      </c>
      <c r="G10" s="110"/>
      <c r="H10" s="110"/>
    </row>
    <row r="11" spans="2:8" outlineLevel="1" x14ac:dyDescent="0.25">
      <c r="B11" t="s">
        <v>123</v>
      </c>
      <c r="D11" s="5">
        <f>WACC!J22-WACC!J21</f>
        <v>8.4999999999999992E-2</v>
      </c>
      <c r="F11" s="110" t="s">
        <v>175</v>
      </c>
      <c r="G11" s="110"/>
      <c r="H11" s="110"/>
    </row>
    <row r="12" spans="2:8" outlineLevel="1" x14ac:dyDescent="0.25">
      <c r="B12" t="s">
        <v>124</v>
      </c>
      <c r="D12" s="49">
        <v>0.25</v>
      </c>
      <c r="F12" s="62"/>
      <c r="G12" s="62"/>
      <c r="H12" s="62"/>
    </row>
    <row r="13" spans="2:8" x14ac:dyDescent="0.25">
      <c r="F13" s="62"/>
      <c r="G13" s="62"/>
      <c r="H13" s="62"/>
    </row>
    <row r="14" spans="2:8" x14ac:dyDescent="0.25">
      <c r="B14" s="107" t="str">
        <f>"Revenue Projection &amp; Growth Assumption "&amp;" - "&amp;'Data Sheet'!B1</f>
        <v>Revenue Projection &amp; Growth Assumption  - TRENT LTD</v>
      </c>
      <c r="C14" s="107"/>
      <c r="D14" s="107"/>
      <c r="E14" s="107"/>
      <c r="F14" s="107"/>
      <c r="G14" s="107"/>
      <c r="H14" s="107"/>
    </row>
    <row r="16" spans="2:8" outlineLevel="1" x14ac:dyDescent="0.25">
      <c r="B16" s="25" t="s">
        <v>93</v>
      </c>
      <c r="C16" s="25"/>
      <c r="D16" s="51">
        <f>'Historical Data'!H3+365</f>
        <v>46112</v>
      </c>
      <c r="E16" s="51">
        <f>D16+365</f>
        <v>46477</v>
      </c>
      <c r="F16" s="51">
        <f t="shared" ref="F16:H16" si="0">E16+365</f>
        <v>46842</v>
      </c>
      <c r="G16" s="51">
        <f t="shared" si="0"/>
        <v>47207</v>
      </c>
      <c r="H16" s="51">
        <f t="shared" si="0"/>
        <v>47572</v>
      </c>
    </row>
    <row r="17" spans="2:8" outlineLevel="1" x14ac:dyDescent="0.25">
      <c r="B17" s="2" t="s">
        <v>131</v>
      </c>
      <c r="D17" s="5">
        <f t="array" ref="D17:H17">CHOOSE(E20,D21:H21,D22:H22,D23:H23)</f>
        <v>0.25</v>
      </c>
      <c r="E17" s="5">
        <v>0.23</v>
      </c>
      <c r="F17" s="5">
        <v>0.21000000000000002</v>
      </c>
      <c r="G17" s="5">
        <v>0.19000000000000003</v>
      </c>
      <c r="H17" s="5">
        <v>0.17000000000000004</v>
      </c>
    </row>
    <row r="18" spans="2:8" ht="15.75" outlineLevel="1" thickBot="1" x14ac:dyDescent="0.3">
      <c r="B18" s="37" t="s">
        <v>132</v>
      </c>
      <c r="C18" s="37"/>
      <c r="D18" s="38">
        <f>'Historical Data'!H7*(1+'Forcasting of Sales'!D17)</f>
        <v>21418.262500000001</v>
      </c>
      <c r="E18" s="38">
        <f>D18*(1+E17)</f>
        <v>26344.462875000001</v>
      </c>
      <c r="F18" s="38">
        <f t="shared" ref="F18:H18" si="1">E18*(1+F17)</f>
        <v>31876.800078749999</v>
      </c>
      <c r="G18" s="38">
        <f t="shared" si="1"/>
        <v>37933.392093712493</v>
      </c>
      <c r="H18" s="38">
        <f t="shared" si="1"/>
        <v>44382.068749643615</v>
      </c>
    </row>
    <row r="19" spans="2:8" ht="15.75" outlineLevel="1" thickTop="1" x14ac:dyDescent="0.25">
      <c r="B19" s="2"/>
      <c r="D19" s="29"/>
      <c r="E19" s="29"/>
      <c r="F19" s="29"/>
      <c r="G19" s="29"/>
      <c r="H19" s="29"/>
    </row>
    <row r="20" spans="2:8" outlineLevel="1" x14ac:dyDescent="0.25">
      <c r="B20" s="2" t="s">
        <v>129</v>
      </c>
      <c r="D20" s="53" t="s">
        <v>130</v>
      </c>
      <c r="E20" s="50">
        <f>MATCH(D20,B21:B23,0)</f>
        <v>1</v>
      </c>
    </row>
    <row r="21" spans="2:8" outlineLevel="1" x14ac:dyDescent="0.25">
      <c r="B21" s="40" t="s">
        <v>130</v>
      </c>
      <c r="C21" s="40"/>
      <c r="D21" s="54">
        <f>D7</f>
        <v>0.25</v>
      </c>
      <c r="E21" s="54">
        <f>D21-$D$8</f>
        <v>0.23</v>
      </c>
      <c r="F21" s="54">
        <f t="shared" ref="F21:H21" si="2">E21-$D$8</f>
        <v>0.21000000000000002</v>
      </c>
      <c r="G21" s="54">
        <f t="shared" si="2"/>
        <v>0.19000000000000003</v>
      </c>
      <c r="H21" s="54">
        <f t="shared" si="2"/>
        <v>0.17000000000000004</v>
      </c>
    </row>
    <row r="22" spans="2:8" outlineLevel="1" x14ac:dyDescent="0.25">
      <c r="B22" s="40" t="s">
        <v>4</v>
      </c>
      <c r="C22" s="40"/>
      <c r="D22" s="54">
        <f>D21+5%</f>
        <v>0.3</v>
      </c>
      <c r="E22" s="54">
        <f>D22-$D$8</f>
        <v>0.27999999999999997</v>
      </c>
      <c r="F22" s="54">
        <f t="shared" ref="F22:H22" si="3">E22-$D$8</f>
        <v>0.25999999999999995</v>
      </c>
      <c r="G22" s="54">
        <f t="shared" si="3"/>
        <v>0.23999999999999996</v>
      </c>
      <c r="H22" s="54">
        <f t="shared" si="3"/>
        <v>0.21999999999999997</v>
      </c>
    </row>
    <row r="23" spans="2:8" outlineLevel="1" x14ac:dyDescent="0.25">
      <c r="B23" s="40" t="s">
        <v>5</v>
      </c>
      <c r="C23" s="40"/>
      <c r="D23" s="54">
        <f>D21-5%</f>
        <v>0.2</v>
      </c>
      <c r="E23" s="54">
        <f>D23-$D$8</f>
        <v>0.18000000000000002</v>
      </c>
      <c r="F23" s="54">
        <f t="shared" ref="F23:H23" si="4">E23-$D$8</f>
        <v>0.16000000000000003</v>
      </c>
      <c r="G23" s="54">
        <f t="shared" si="4"/>
        <v>0.14000000000000004</v>
      </c>
      <c r="H23" s="54">
        <f t="shared" si="4"/>
        <v>0.12000000000000004</v>
      </c>
    </row>
  </sheetData>
  <mergeCells count="7">
    <mergeCell ref="B2:H2"/>
    <mergeCell ref="F4:H4"/>
    <mergeCell ref="F7:H7"/>
    <mergeCell ref="F8:H8"/>
    <mergeCell ref="B14:H14"/>
    <mergeCell ref="F10:H10"/>
    <mergeCell ref="F11:H11"/>
  </mergeCells>
  <dataValidations count="1">
    <dataValidation type="list" allowBlank="1" showInputMessage="1" showErrorMessage="1" sqref="D20" xr:uid="{0E19AF0F-B752-49F9-8D8E-6F3A38023618}">
      <formula1>$B$21:$B$23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AD0B-C559-4162-A693-D7FD7D779CCE}">
  <sheetPr>
    <tabColor rgb="FFC00000"/>
  </sheetPr>
  <dimension ref="B3:G35"/>
  <sheetViews>
    <sheetView workbookViewId="0">
      <selection activeCell="H16" sqref="H16"/>
    </sheetView>
  </sheetViews>
  <sheetFormatPr defaultRowHeight="15" x14ac:dyDescent="0.25"/>
  <cols>
    <col min="2" max="2" width="28" bestFit="1" customWidth="1"/>
  </cols>
  <sheetData>
    <row r="3" spans="2:7" x14ac:dyDescent="0.25">
      <c r="C3" s="100">
        <v>44256</v>
      </c>
      <c r="D3" s="100">
        <v>44621</v>
      </c>
      <c r="E3" s="100">
        <v>44986</v>
      </c>
      <c r="F3" s="100">
        <v>45352</v>
      </c>
      <c r="G3" s="100">
        <v>45717</v>
      </c>
    </row>
    <row r="4" spans="2:7" x14ac:dyDescent="0.25">
      <c r="B4" s="2" t="s">
        <v>176</v>
      </c>
      <c r="C4" s="2">
        <v>285</v>
      </c>
      <c r="D4" s="2">
        <v>58</v>
      </c>
      <c r="E4" s="2">
        <v>595</v>
      </c>
      <c r="F4" s="102">
        <v>1349</v>
      </c>
      <c r="G4" s="102">
        <v>1661</v>
      </c>
    </row>
    <row r="5" spans="2:7" x14ac:dyDescent="0.25">
      <c r="B5" t="s">
        <v>177</v>
      </c>
      <c r="C5">
        <v>180</v>
      </c>
      <c r="D5">
        <v>569</v>
      </c>
      <c r="E5" s="101">
        <v>1079</v>
      </c>
      <c r="F5" s="101">
        <v>1919</v>
      </c>
      <c r="G5" s="101">
        <v>2723</v>
      </c>
    </row>
    <row r="6" spans="2:7" x14ac:dyDescent="0.25">
      <c r="B6" t="s">
        <v>78</v>
      </c>
      <c r="C6">
        <v>-39</v>
      </c>
      <c r="D6">
        <v>-103</v>
      </c>
      <c r="E6">
        <v>-101</v>
      </c>
      <c r="F6">
        <v>-208</v>
      </c>
      <c r="G6">
        <v>-203</v>
      </c>
    </row>
    <row r="7" spans="2:7" x14ac:dyDescent="0.25">
      <c r="B7" t="s">
        <v>45</v>
      </c>
      <c r="C7">
        <v>179</v>
      </c>
      <c r="D7">
        <v>-439</v>
      </c>
      <c r="E7">
        <v>-494</v>
      </c>
      <c r="F7">
        <v>-222</v>
      </c>
      <c r="G7">
        <v>-462</v>
      </c>
    </row>
    <row r="8" spans="2:7" x14ac:dyDescent="0.25">
      <c r="B8" t="s">
        <v>178</v>
      </c>
      <c r="C8">
        <v>-11</v>
      </c>
      <c r="D8">
        <v>134</v>
      </c>
      <c r="E8">
        <v>332</v>
      </c>
      <c r="F8">
        <v>178</v>
      </c>
      <c r="G8">
        <v>212</v>
      </c>
    </row>
    <row r="9" spans="2:7" x14ac:dyDescent="0.25">
      <c r="B9" t="s">
        <v>179</v>
      </c>
      <c r="C9">
        <v>0</v>
      </c>
      <c r="D9">
        <v>0</v>
      </c>
      <c r="E9">
        <v>0</v>
      </c>
      <c r="F9">
        <v>0</v>
      </c>
      <c r="G9">
        <v>0</v>
      </c>
    </row>
    <row r="10" spans="2:7" x14ac:dyDescent="0.25">
      <c r="B10" t="s">
        <v>180</v>
      </c>
      <c r="C10">
        <v>-23</v>
      </c>
      <c r="D10">
        <v>-22</v>
      </c>
      <c r="E10">
        <v>-30</v>
      </c>
      <c r="F10">
        <v>-20</v>
      </c>
      <c r="G10">
        <v>-115</v>
      </c>
    </row>
    <row r="11" spans="2:7" x14ac:dyDescent="0.25">
      <c r="B11" t="s">
        <v>181</v>
      </c>
      <c r="C11">
        <v>106</v>
      </c>
      <c r="D11">
        <v>-430</v>
      </c>
      <c r="E11">
        <v>-293</v>
      </c>
      <c r="F11">
        <v>-272</v>
      </c>
      <c r="G11">
        <v>-568</v>
      </c>
    </row>
    <row r="12" spans="2:7" x14ac:dyDescent="0.25">
      <c r="B12" t="s">
        <v>182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2:7" x14ac:dyDescent="0.25">
      <c r="B13" t="s">
        <v>183</v>
      </c>
      <c r="C13">
        <v>-1</v>
      </c>
      <c r="D13">
        <v>-82</v>
      </c>
      <c r="E13">
        <v>-191</v>
      </c>
      <c r="F13">
        <v>-299</v>
      </c>
      <c r="G13">
        <v>-494</v>
      </c>
    </row>
    <row r="14" spans="2:7" x14ac:dyDescent="0.25">
      <c r="B14" s="2" t="s">
        <v>184</v>
      </c>
      <c r="C14" s="2">
        <v>18</v>
      </c>
      <c r="D14" s="2">
        <v>56</v>
      </c>
      <c r="E14" s="2">
        <v>-103</v>
      </c>
      <c r="F14" s="2">
        <v>-508</v>
      </c>
      <c r="G14" s="2">
        <v>-923</v>
      </c>
    </row>
    <row r="15" spans="2:7" x14ac:dyDescent="0.25">
      <c r="B15" t="s">
        <v>185</v>
      </c>
      <c r="C15">
        <v>-113</v>
      </c>
      <c r="D15">
        <v>-271</v>
      </c>
      <c r="E15">
        <v>-503</v>
      </c>
      <c r="F15">
        <v>-737</v>
      </c>
      <c r="G15" s="101">
        <v>-1268</v>
      </c>
    </row>
    <row r="16" spans="2:7" x14ac:dyDescent="0.25">
      <c r="B16" t="s">
        <v>186</v>
      </c>
      <c r="C16">
        <v>22</v>
      </c>
      <c r="D16">
        <v>61</v>
      </c>
      <c r="E16">
        <v>280</v>
      </c>
      <c r="F16">
        <v>343</v>
      </c>
      <c r="G16">
        <v>407</v>
      </c>
    </row>
    <row r="17" spans="2:7" x14ac:dyDescent="0.25">
      <c r="B17" t="s">
        <v>187</v>
      </c>
      <c r="C17">
        <v>-591</v>
      </c>
      <c r="D17" s="101">
        <v>-1322</v>
      </c>
      <c r="E17" s="101">
        <v>-1610</v>
      </c>
      <c r="F17" s="101">
        <v>-1938</v>
      </c>
      <c r="G17" s="101">
        <v>-3885</v>
      </c>
    </row>
    <row r="18" spans="2:7" x14ac:dyDescent="0.25">
      <c r="B18" t="s">
        <v>188</v>
      </c>
      <c r="C18">
        <v>731</v>
      </c>
      <c r="D18" s="101">
        <v>1530</v>
      </c>
      <c r="E18" s="101">
        <v>1616</v>
      </c>
      <c r="F18" s="101">
        <v>1808</v>
      </c>
      <c r="G18" s="101">
        <v>3852</v>
      </c>
    </row>
    <row r="19" spans="2:7" x14ac:dyDescent="0.25">
      <c r="B19" t="s">
        <v>189</v>
      </c>
      <c r="C19">
        <v>21</v>
      </c>
      <c r="D19">
        <v>15</v>
      </c>
      <c r="E19">
        <v>8</v>
      </c>
      <c r="F19">
        <v>2</v>
      </c>
      <c r="G19">
        <v>6</v>
      </c>
    </row>
    <row r="20" spans="2:7" x14ac:dyDescent="0.25">
      <c r="B20" t="s">
        <v>190</v>
      </c>
      <c r="C20">
        <v>5</v>
      </c>
      <c r="D20">
        <v>109</v>
      </c>
      <c r="E20">
        <v>148</v>
      </c>
      <c r="F20">
        <v>75</v>
      </c>
      <c r="G20">
        <v>1</v>
      </c>
    </row>
    <row r="21" spans="2:7" x14ac:dyDescent="0.25">
      <c r="B21" t="s">
        <v>191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2:7" x14ac:dyDescent="0.25">
      <c r="B22" t="s">
        <v>192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2:7" x14ac:dyDescent="0.25">
      <c r="B23" t="s">
        <v>193</v>
      </c>
      <c r="C23">
        <v>-45</v>
      </c>
      <c r="D23">
        <v>-66</v>
      </c>
      <c r="E23">
        <v>-52</v>
      </c>
      <c r="F23">
        <v>-62</v>
      </c>
      <c r="G23">
        <v>-37</v>
      </c>
    </row>
    <row r="24" spans="2:7" x14ac:dyDescent="0.25">
      <c r="B24" t="s">
        <v>194</v>
      </c>
      <c r="C24">
        <v>-12</v>
      </c>
      <c r="D24">
        <v>0</v>
      </c>
      <c r="E24">
        <v>10</v>
      </c>
      <c r="F24">
        <v>0</v>
      </c>
      <c r="G24">
        <v>0</v>
      </c>
    </row>
    <row r="25" spans="2:7" x14ac:dyDescent="0.25">
      <c r="B25" s="2" t="s">
        <v>195</v>
      </c>
      <c r="C25" s="2">
        <v>-283</v>
      </c>
      <c r="D25" s="2">
        <v>-108</v>
      </c>
      <c r="E25" s="2">
        <v>-491</v>
      </c>
      <c r="F25" s="2">
        <v>-629</v>
      </c>
      <c r="G25" s="2">
        <v>-694</v>
      </c>
    </row>
    <row r="26" spans="2:7" x14ac:dyDescent="0.25">
      <c r="B26" t="s">
        <v>196</v>
      </c>
      <c r="C26">
        <v>0</v>
      </c>
      <c r="D26">
        <v>551</v>
      </c>
      <c r="E26">
        <v>46</v>
      </c>
      <c r="F26">
        <v>36</v>
      </c>
      <c r="G26">
        <v>93</v>
      </c>
    </row>
    <row r="27" spans="2:7" x14ac:dyDescent="0.25">
      <c r="B27" t="s">
        <v>197</v>
      </c>
      <c r="C27">
        <v>0</v>
      </c>
      <c r="D27">
        <v>0</v>
      </c>
      <c r="E27">
        <v>173</v>
      </c>
      <c r="F27">
        <v>0</v>
      </c>
      <c r="G27">
        <v>0</v>
      </c>
    </row>
    <row r="28" spans="2:7" x14ac:dyDescent="0.25">
      <c r="B28" t="s">
        <v>198</v>
      </c>
      <c r="C28">
        <v>0</v>
      </c>
      <c r="D28">
        <v>-301</v>
      </c>
      <c r="E28">
        <v>-173</v>
      </c>
      <c r="F28">
        <v>0</v>
      </c>
      <c r="G28">
        <v>0</v>
      </c>
    </row>
    <row r="29" spans="2:7" x14ac:dyDescent="0.25">
      <c r="B29" t="s">
        <v>199</v>
      </c>
      <c r="C29">
        <v>-184</v>
      </c>
      <c r="D29">
        <v>-246</v>
      </c>
      <c r="E29">
        <v>-359</v>
      </c>
      <c r="F29">
        <v>-309</v>
      </c>
      <c r="G29">
        <v>-134</v>
      </c>
    </row>
    <row r="30" spans="2:7" x14ac:dyDescent="0.25">
      <c r="B30" t="s">
        <v>200</v>
      </c>
      <c r="C30">
        <v>-36</v>
      </c>
      <c r="D30">
        <v>-43</v>
      </c>
      <c r="E30">
        <v>-39</v>
      </c>
      <c r="F30">
        <v>-78</v>
      </c>
      <c r="G30">
        <v>-114</v>
      </c>
    </row>
    <row r="31" spans="2:7" x14ac:dyDescent="0.25">
      <c r="B31" t="s">
        <v>201</v>
      </c>
      <c r="C31">
        <v>-63</v>
      </c>
      <c r="D31">
        <v>-69</v>
      </c>
      <c r="E31">
        <v>-140</v>
      </c>
      <c r="F31">
        <v>-277</v>
      </c>
      <c r="G31">
        <v>-540</v>
      </c>
    </row>
    <row r="32" spans="2:7" x14ac:dyDescent="0.25">
      <c r="B32" t="s">
        <v>202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2:7" x14ac:dyDescent="0.25">
      <c r="B33" t="s">
        <v>203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2:7" x14ac:dyDescent="0.25">
      <c r="B34" t="s">
        <v>204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2:7" x14ac:dyDescent="0.25">
      <c r="B35" t="s">
        <v>35</v>
      </c>
      <c r="C35">
        <v>20</v>
      </c>
      <c r="D35">
        <v>6</v>
      </c>
      <c r="E35">
        <v>1</v>
      </c>
      <c r="F35">
        <v>211</v>
      </c>
      <c r="G35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46F1-BDFF-43E6-BD77-8097B849AEF9}">
  <dimension ref="A1:P93"/>
  <sheetViews>
    <sheetView showGridLines="0" workbookViewId="0">
      <pane ySplit="3" topLeftCell="A4" activePane="bottomLeft" state="frozen"/>
      <selection activeCell="B1" sqref="B1"/>
      <selection pane="bottomLeft" activeCell="J16" sqref="A1:XFD1048576"/>
    </sheetView>
  </sheetViews>
  <sheetFormatPr defaultRowHeight="15" outlineLevelRow="1" x14ac:dyDescent="0.25"/>
  <cols>
    <col min="1" max="1" width="1.85546875" customWidth="1"/>
    <col min="2" max="2" width="29.140625" bestFit="1" customWidth="1"/>
    <col min="4" max="4" width="13.7109375" customWidth="1"/>
    <col min="5" max="8" width="10" customWidth="1"/>
  </cols>
  <sheetData>
    <row r="1" spans="1:9" x14ac:dyDescent="0.25">
      <c r="B1" s="106" t="str">
        <f>"Historical Financial Statement - "&amp;'Data Sheet'!B1</f>
        <v>Historical Financial Statement - TRENT LTD</v>
      </c>
      <c r="C1" s="106"/>
      <c r="D1" s="106"/>
      <c r="E1" s="106"/>
      <c r="F1" s="106"/>
      <c r="G1" s="106"/>
      <c r="H1" s="106"/>
    </row>
    <row r="2" spans="1:9" ht="9" customHeight="1" x14ac:dyDescent="0.25">
      <c r="B2" s="106"/>
      <c r="C2" s="106"/>
      <c r="D2" s="106"/>
      <c r="E2" s="106"/>
      <c r="F2" s="106"/>
      <c r="G2" s="106"/>
      <c r="H2" s="106"/>
    </row>
    <row r="3" spans="1:9" x14ac:dyDescent="0.25">
      <c r="B3" s="25" t="s">
        <v>93</v>
      </c>
      <c r="C3" s="25"/>
      <c r="D3" s="52">
        <f>'Data Sheet'!F56</f>
        <v>44286</v>
      </c>
      <c r="E3" s="52">
        <f>'Data Sheet'!G56</f>
        <v>44651</v>
      </c>
      <c r="F3" s="52">
        <f>'Data Sheet'!H56</f>
        <v>45016</v>
      </c>
      <c r="G3" s="52">
        <f>'Data Sheet'!I56</f>
        <v>45382</v>
      </c>
      <c r="H3" s="52">
        <f>'Data Sheet'!J56</f>
        <v>45747</v>
      </c>
    </row>
    <row r="4" spans="1:9" s="28" customFormat="1" x14ac:dyDescent="0.25">
      <c r="B4" s="26"/>
      <c r="C4" s="26"/>
      <c r="D4" s="27"/>
      <c r="E4" s="27"/>
      <c r="F4" s="27"/>
      <c r="G4" s="27"/>
      <c r="H4" s="27"/>
    </row>
    <row r="5" spans="1:9" x14ac:dyDescent="0.25">
      <c r="A5" t="s">
        <v>213</v>
      </c>
      <c r="B5" s="107" t="str">
        <f>"Income Statement  "&amp; " - "&amp;'Data Sheet'!B1</f>
        <v>Income Statement   - TRENT LTD</v>
      </c>
      <c r="C5" s="107"/>
      <c r="D5" s="107"/>
      <c r="E5" s="107"/>
      <c r="F5" s="107"/>
      <c r="G5" s="107"/>
      <c r="H5" s="107"/>
    </row>
    <row r="6" spans="1:9" outlineLevel="1" x14ac:dyDescent="0.25"/>
    <row r="7" spans="1:9" outlineLevel="1" x14ac:dyDescent="0.25">
      <c r="B7" s="34" t="s">
        <v>6</v>
      </c>
      <c r="C7" s="34"/>
      <c r="D7" s="35">
        <f>IFERROR('Data Sheet'!F17,0)</f>
        <v>2592.96</v>
      </c>
      <c r="E7" s="35">
        <f>IFERROR('Data Sheet'!G17,0)</f>
        <v>4498.0200000000004</v>
      </c>
      <c r="F7" s="35">
        <f>IFERROR('Data Sheet'!H17,0)</f>
        <v>8242.02</v>
      </c>
      <c r="G7" s="35">
        <f>IFERROR('Data Sheet'!I17,0)</f>
        <v>12375.11</v>
      </c>
      <c r="H7" s="35">
        <f>IFERROR('Data Sheet'!J17,0)</f>
        <v>17134.61</v>
      </c>
    </row>
    <row r="8" spans="1:9" outlineLevel="1" x14ac:dyDescent="0.25">
      <c r="B8" s="31" t="s">
        <v>22</v>
      </c>
      <c r="C8" s="32"/>
      <c r="D8" s="32"/>
      <c r="E8" s="33">
        <f>E7/D7-1</f>
        <v>0.73470473898556099</v>
      </c>
      <c r="F8" s="33">
        <f t="shared" ref="F8:H8" si="0">F7/E7-1</f>
        <v>0.83236624114610414</v>
      </c>
      <c r="G8" s="33">
        <f t="shared" si="0"/>
        <v>0.50146566011730132</v>
      </c>
      <c r="H8" s="33">
        <f t="shared" si="0"/>
        <v>0.38460264191591031</v>
      </c>
    </row>
    <row r="9" spans="1:9" outlineLevel="1" x14ac:dyDescent="0.25">
      <c r="B9" t="s">
        <v>94</v>
      </c>
      <c r="D9" s="29">
        <f>IFERROR(SUM('Data Sheet'!F18,-'Data Sheet'!F19,'Data Sheet'!F20,'Data Sheet'!F21),0)</f>
        <v>1675.41</v>
      </c>
      <c r="E9" s="29">
        <f>IFERROR(SUM('Data Sheet'!G18,-'Data Sheet'!G19,'Data Sheet'!G20,'Data Sheet'!G21),0)</f>
        <v>2680.5699999999997</v>
      </c>
      <c r="F9" s="29">
        <f>IFERROR(SUM('Data Sheet'!H18,-'Data Sheet'!H19,'Data Sheet'!H20,'Data Sheet'!H21),0)</f>
        <v>5076.0099999999993</v>
      </c>
      <c r="G9" s="29">
        <f>IFERROR(SUM('Data Sheet'!I18,-'Data Sheet'!I19,'Data Sheet'!I20,'Data Sheet'!I21),0)</f>
        <v>7452.64</v>
      </c>
      <c r="H9" s="29">
        <f>IFERROR(SUM('Data Sheet'!J18,-'Data Sheet'!J19,'Data Sheet'!J20,'Data Sheet'!J21),0)</f>
        <v>10408.800000000001</v>
      </c>
    </row>
    <row r="10" spans="1:9" outlineLevel="1" x14ac:dyDescent="0.25">
      <c r="B10" s="31" t="s">
        <v>95</v>
      </c>
      <c r="C10" s="32"/>
      <c r="D10" s="33">
        <f>D9/D7</f>
        <v>0.64613800444279901</v>
      </c>
      <c r="E10" s="33">
        <f>E9/E7</f>
        <v>0.59594443777484307</v>
      </c>
      <c r="F10" s="33">
        <f>F9/F7</f>
        <v>0.61586965331314403</v>
      </c>
      <c r="G10" s="33">
        <f>G9/G7</f>
        <v>0.60222818221413787</v>
      </c>
      <c r="H10" s="33">
        <f>H9/H7</f>
        <v>0.60747224477242268</v>
      </c>
    </row>
    <row r="11" spans="1:9" outlineLevel="1" x14ac:dyDescent="0.25">
      <c r="B11" s="34" t="s">
        <v>96</v>
      </c>
      <c r="C11" s="34"/>
      <c r="D11" s="35">
        <f>D7-D9</f>
        <v>917.55</v>
      </c>
      <c r="E11" s="35">
        <f>E7-E9</f>
        <v>1817.4500000000007</v>
      </c>
      <c r="F11" s="35">
        <f>F7-F9</f>
        <v>3166.0100000000011</v>
      </c>
      <c r="G11" s="35">
        <f>G7-G9</f>
        <v>4922.47</v>
      </c>
      <c r="H11" s="35">
        <f>H7-H9</f>
        <v>6725.8099999999995</v>
      </c>
    </row>
    <row r="12" spans="1:9" outlineLevel="1" x14ac:dyDescent="0.25">
      <c r="B12" s="31" t="s">
        <v>97</v>
      </c>
      <c r="C12" s="32"/>
      <c r="D12" s="33">
        <f>D11/D7</f>
        <v>0.35386199555720099</v>
      </c>
      <c r="E12" s="33">
        <f>E11/E7</f>
        <v>0.40405556222515698</v>
      </c>
      <c r="F12" s="33">
        <f>F11/F7</f>
        <v>0.38413034668685603</v>
      </c>
      <c r="G12" s="33">
        <f>G11/G7</f>
        <v>0.39777181778586213</v>
      </c>
      <c r="H12" s="33">
        <f>H11/H7</f>
        <v>0.39252775522757738</v>
      </c>
    </row>
    <row r="13" spans="1:9" outlineLevel="1" x14ac:dyDescent="0.25">
      <c r="B13" t="s">
        <v>98</v>
      </c>
      <c r="D13" s="29">
        <f>IFERROR(SUM('Data Sheet'!F22:F24),0)</f>
        <v>803.68</v>
      </c>
      <c r="E13" s="29">
        <f>IFERROR(SUM('Data Sheet'!G22:G24),0)</f>
        <v>1222.73</v>
      </c>
      <c r="F13" s="29">
        <f>IFERROR(SUM('Data Sheet'!H22:H24),0)</f>
        <v>2051.8599999999997</v>
      </c>
      <c r="G13" s="29">
        <f>IFERROR(SUM('Data Sheet'!I22:I24),0)</f>
        <v>2951.7799999999997</v>
      </c>
      <c r="H13" s="29">
        <f>IFERROR(SUM('Data Sheet'!J22:J24),0)</f>
        <v>3905.85</v>
      </c>
    </row>
    <row r="14" spans="1:9" outlineLevel="1" x14ac:dyDescent="0.25">
      <c r="B14" s="31" t="s">
        <v>107</v>
      </c>
      <c r="C14" s="32"/>
      <c r="D14" s="33">
        <f>D13/D7</f>
        <v>0.30994693323460443</v>
      </c>
      <c r="E14" s="33">
        <f>E13/E7</f>
        <v>0.27183738622771797</v>
      </c>
      <c r="F14" s="33">
        <f>F13/F7</f>
        <v>0.24895110664618619</v>
      </c>
      <c r="G14" s="33">
        <f>G13/G7</f>
        <v>0.2385255565405075</v>
      </c>
      <c r="H14" s="33">
        <f>H13/H7</f>
        <v>0.22795091338524773</v>
      </c>
    </row>
    <row r="15" spans="1:9" outlineLevel="1" x14ac:dyDescent="0.25">
      <c r="B15" s="34" t="s">
        <v>99</v>
      </c>
      <c r="C15" s="34"/>
      <c r="D15" s="35">
        <f>D11-D13</f>
        <v>113.87</v>
      </c>
      <c r="E15" s="35">
        <f>E11-E13</f>
        <v>594.72000000000071</v>
      </c>
      <c r="F15" s="35">
        <f>F11-F13</f>
        <v>1114.1500000000015</v>
      </c>
      <c r="G15" s="35">
        <f>G11-G13</f>
        <v>1970.6900000000005</v>
      </c>
      <c r="H15" s="35">
        <f>H11-H13</f>
        <v>2819.9599999999996</v>
      </c>
    </row>
    <row r="16" spans="1:9" outlineLevel="1" x14ac:dyDescent="0.25">
      <c r="B16" s="31" t="s">
        <v>100</v>
      </c>
      <c r="C16" s="32"/>
      <c r="D16" s="33">
        <f>D15/D7</f>
        <v>4.3915062322596572E-2</v>
      </c>
      <c r="E16" s="33">
        <f>E15/E7</f>
        <v>0.13221817599743901</v>
      </c>
      <c r="F16" s="33">
        <f>F15/F7</f>
        <v>0.13517924004066981</v>
      </c>
      <c r="G16" s="33">
        <f>G15/G7</f>
        <v>0.15924626124535463</v>
      </c>
      <c r="H16" s="33">
        <f>H15/H7</f>
        <v>0.16457684184232962</v>
      </c>
      <c r="I16" s="31"/>
    </row>
    <row r="17" spans="1:16" outlineLevel="1" x14ac:dyDescent="0.25">
      <c r="B17" t="s">
        <v>10</v>
      </c>
      <c r="D17" s="29">
        <f>IFERROR('Data Sheet'!F26,0)</f>
        <v>257.3</v>
      </c>
      <c r="E17" s="29">
        <f>IFERROR('Data Sheet'!G26,0)</f>
        <v>310.82</v>
      </c>
      <c r="F17" s="29">
        <f>IFERROR('Data Sheet'!H26,0)</f>
        <v>493.69</v>
      </c>
      <c r="G17" s="29">
        <f>IFERROR('Data Sheet'!I26,0)</f>
        <v>671.11</v>
      </c>
      <c r="H17" s="29">
        <f>IFERROR('Data Sheet'!J26,0)</f>
        <v>895.18</v>
      </c>
    </row>
    <row r="18" spans="1:16" outlineLevel="1" x14ac:dyDescent="0.25">
      <c r="B18" s="31" t="s">
        <v>110</v>
      </c>
      <c r="C18" s="32"/>
      <c r="D18" s="33">
        <f>IFERROR('Data Sheet'!F26/'Data Sheet'!F62,0)</f>
        <v>8.4255129640908769E-2</v>
      </c>
      <c r="E18" s="33">
        <f>IFERROR('Data Sheet'!G26/'Data Sheet'!G62,0)</f>
        <v>6.631944370357884E-2</v>
      </c>
      <c r="F18" s="33">
        <f>IFERROR('Data Sheet'!H26/'Data Sheet'!H62,0)</f>
        <v>0.1090557660234816</v>
      </c>
      <c r="G18" s="33">
        <f>IFERROR('Data Sheet'!I26/'Data Sheet'!I62,0)</f>
        <v>0.27393139367816094</v>
      </c>
      <c r="H18" s="33">
        <f>IFERROR('Data Sheet'!J26/'Data Sheet'!J62,0)</f>
        <v>0.22982031408451065</v>
      </c>
    </row>
    <row r="19" spans="1:16" outlineLevel="1" x14ac:dyDescent="0.25">
      <c r="B19" s="36" t="s">
        <v>108</v>
      </c>
      <c r="C19" s="34"/>
      <c r="D19" s="35">
        <f>D15-D17</f>
        <v>-143.43</v>
      </c>
      <c r="E19" s="35">
        <f>E15-E17</f>
        <v>283.90000000000072</v>
      </c>
      <c r="F19" s="35">
        <f>F15-F17</f>
        <v>620.4600000000014</v>
      </c>
      <c r="G19" s="35">
        <f>G15-G17</f>
        <v>1299.5800000000004</v>
      </c>
      <c r="H19" s="35">
        <f>H15-H17</f>
        <v>1924.7799999999997</v>
      </c>
      <c r="J19" s="29"/>
      <c r="L19" s="29"/>
      <c r="N19" s="29"/>
      <c r="O19" s="29"/>
      <c r="P19" s="29"/>
    </row>
    <row r="20" spans="1:16" outlineLevel="1" x14ac:dyDescent="0.25">
      <c r="B20" s="31" t="s">
        <v>109</v>
      </c>
      <c r="C20" s="32"/>
      <c r="D20" s="33">
        <f>D19/D7</f>
        <v>-5.5315161051462426E-2</v>
      </c>
      <c r="E20" s="33">
        <f>E19/E7</f>
        <v>6.311666021938557E-2</v>
      </c>
      <c r="F20" s="33">
        <f>F19/F7</f>
        <v>7.5280089104370215E-2</v>
      </c>
      <c r="G20" s="33">
        <f>G19/G7</f>
        <v>0.1050156321842796</v>
      </c>
      <c r="H20" s="33">
        <f>H19/H7</f>
        <v>0.11233287480718847</v>
      </c>
    </row>
    <row r="21" spans="1:16" outlineLevel="1" x14ac:dyDescent="0.25">
      <c r="B21" t="s">
        <v>9</v>
      </c>
      <c r="D21">
        <f>IFERROR('Data Sheet'!F25,0)</f>
        <v>199.4</v>
      </c>
      <c r="E21">
        <f>IFERROR('Data Sheet'!G25,0)</f>
        <v>152.16</v>
      </c>
      <c r="F21">
        <f>IFERROR('Data Sheet'!H25,0)</f>
        <v>340.6</v>
      </c>
      <c r="G21">
        <f>IFERROR('Data Sheet'!I25,0)</f>
        <v>988.91</v>
      </c>
      <c r="H21">
        <f>IFERROR('Data Sheet'!J25,0)</f>
        <v>305.06</v>
      </c>
    </row>
    <row r="22" spans="1:16" outlineLevel="1" x14ac:dyDescent="0.25">
      <c r="B22" t="s">
        <v>101</v>
      </c>
      <c r="D22" s="29">
        <f>IFERROR('Data Sheet'!F27,0)</f>
        <v>260.79000000000002</v>
      </c>
      <c r="E22" s="29">
        <f>IFERROR('Data Sheet'!G27,0)</f>
        <v>324.83999999999997</v>
      </c>
      <c r="F22" s="29">
        <f>IFERROR('Data Sheet'!H27,0)</f>
        <v>408.99</v>
      </c>
      <c r="G22" s="29">
        <f>IFERROR('Data Sheet'!I27,0)</f>
        <v>367.66</v>
      </c>
      <c r="H22" s="29">
        <f>IFERROR('Data Sheet'!J27,0)</f>
        <v>200.1</v>
      </c>
    </row>
    <row r="23" spans="1:16" outlineLevel="1" x14ac:dyDescent="0.25">
      <c r="B23" s="31" t="s">
        <v>111</v>
      </c>
      <c r="C23" s="32"/>
      <c r="D23" s="33">
        <f>IFERROR(D22/'Data Sheet'!F59,0)</f>
        <v>8.7996814717086813E-2</v>
      </c>
      <c r="E23" s="33">
        <f>IFERROR(E22/'Data Sheet'!G59,0)</f>
        <v>6.8743968713494849E-2</v>
      </c>
      <c r="F23" s="33">
        <f>IFERROR(F22/'Data Sheet'!H59,0)</f>
        <v>9.1616750370732095E-2</v>
      </c>
      <c r="G23" s="33">
        <f>IFERROR(G22/'Data Sheet'!I59,0)</f>
        <v>0.2097330846154285</v>
      </c>
      <c r="H23" s="33">
        <f>IFERROR(H22/'Data Sheet'!J59,0)</f>
        <v>8.9442559639547822E-2</v>
      </c>
      <c r="I23" s="30"/>
    </row>
    <row r="24" spans="1:16" outlineLevel="1" x14ac:dyDescent="0.25">
      <c r="B24" s="34" t="s">
        <v>102</v>
      </c>
      <c r="C24" s="34"/>
      <c r="D24" s="35">
        <f>D19+D21-D22</f>
        <v>-204.82000000000002</v>
      </c>
      <c r="E24" s="35">
        <f>E19+E21-E22</f>
        <v>111.22000000000077</v>
      </c>
      <c r="F24" s="35">
        <f>F19+F21-F22</f>
        <v>552.07000000000141</v>
      </c>
      <c r="G24" s="35">
        <f>G19+G21-G22</f>
        <v>1920.8300000000002</v>
      </c>
      <c r="H24" s="35">
        <f>H19+H21-H22</f>
        <v>2029.7399999999998</v>
      </c>
    </row>
    <row r="25" spans="1:16" outlineLevel="1" x14ac:dyDescent="0.25">
      <c r="B25" s="31" t="s">
        <v>103</v>
      </c>
      <c r="C25" s="32"/>
      <c r="D25" s="33">
        <f>D24/D7</f>
        <v>-7.899080587436752E-2</v>
      </c>
      <c r="E25" s="33">
        <f>E24/E7</f>
        <v>2.4726435187038018E-2</v>
      </c>
      <c r="F25" s="33">
        <f>F24/F7</f>
        <v>6.698236597339019E-2</v>
      </c>
      <c r="G25" s="33">
        <f>G24/G7</f>
        <v>0.15521720615008675</v>
      </c>
      <c r="H25" s="33">
        <f>H24/H7</f>
        <v>0.11845848840446323</v>
      </c>
    </row>
    <row r="26" spans="1:16" outlineLevel="1" x14ac:dyDescent="0.25">
      <c r="B26" t="s">
        <v>13</v>
      </c>
      <c r="D26" s="29">
        <f>IFERROR('Data Sheet'!F29,0)</f>
        <v>-23.69</v>
      </c>
      <c r="E26" s="29">
        <f>IFERROR('Data Sheet'!G29,0)</f>
        <v>76.62</v>
      </c>
      <c r="F26" s="29">
        <f>IFERROR('Data Sheet'!H29,0)</f>
        <v>158.44</v>
      </c>
      <c r="G26" s="29">
        <f>IFERROR('Data Sheet'!I29,0)</f>
        <v>443.37</v>
      </c>
      <c r="H26" s="29">
        <f>IFERROR('Data Sheet'!J29,0)</f>
        <v>495.33</v>
      </c>
    </row>
    <row r="27" spans="1:16" outlineLevel="1" x14ac:dyDescent="0.25">
      <c r="B27" s="31" t="s">
        <v>104</v>
      </c>
      <c r="C27" s="32"/>
      <c r="D27" s="33">
        <f>D26/D24</f>
        <v>0.11566253295576603</v>
      </c>
      <c r="E27" s="33">
        <f>E26/E24</f>
        <v>0.68890487322423555</v>
      </c>
      <c r="F27" s="33">
        <f>F26/F24</f>
        <v>0.28699259151919065</v>
      </c>
      <c r="G27" s="33">
        <f>G26/G24</f>
        <v>0.23082209253291544</v>
      </c>
      <c r="H27" s="33">
        <f>H26/H24</f>
        <v>0.24403618197404595</v>
      </c>
    </row>
    <row r="28" spans="1:16" ht="15.75" outlineLevel="1" thickBot="1" x14ac:dyDescent="0.3">
      <c r="B28" s="37" t="s">
        <v>105</v>
      </c>
      <c r="C28" s="37"/>
      <c r="D28" s="38">
        <f>D24-D26</f>
        <v>-181.13000000000002</v>
      </c>
      <c r="E28" s="38">
        <f>E24-E26</f>
        <v>34.600000000000762</v>
      </c>
      <c r="F28" s="38">
        <f>F24-F26</f>
        <v>393.63000000000142</v>
      </c>
      <c r="G28" s="38">
        <f>G24-G26</f>
        <v>1477.46</v>
      </c>
      <c r="H28" s="38">
        <f>H24-H26</f>
        <v>1534.4099999999999</v>
      </c>
    </row>
    <row r="29" spans="1:16" ht="15.75" outlineLevel="1" thickTop="1" x14ac:dyDescent="0.25">
      <c r="B29" s="31" t="s">
        <v>106</v>
      </c>
      <c r="C29" s="32"/>
      <c r="D29" s="33">
        <f>D28/D7</f>
        <v>-6.9854529186720971E-2</v>
      </c>
      <c r="E29" s="33">
        <f>E28/E7</f>
        <v>7.6922734892243159E-3</v>
      </c>
      <c r="F29" s="33">
        <f>F28/F7</f>
        <v>4.7758923176600084E-2</v>
      </c>
      <c r="G29" s="33">
        <f>G28/G7</f>
        <v>0.11938964582941081</v>
      </c>
      <c r="H29" s="33">
        <f>H28/H7</f>
        <v>8.9550331171821235E-2</v>
      </c>
      <c r="I29" s="30"/>
    </row>
    <row r="32" spans="1:16" x14ac:dyDescent="0.25">
      <c r="A32" t="s">
        <v>213</v>
      </c>
      <c r="B32" s="107" t="str">
        <f>"BalanceSheet  "&amp; " - "&amp;'Data Sheet'!B1</f>
        <v>BalanceSheet   - TRENT LTD</v>
      </c>
      <c r="C32" s="107"/>
      <c r="D32" s="107"/>
      <c r="E32" s="107"/>
      <c r="F32" s="107"/>
      <c r="G32" s="107"/>
      <c r="H32" s="107"/>
    </row>
    <row r="33" spans="2:8" outlineLevel="1" x14ac:dyDescent="0.25">
      <c r="B33" s="6" t="s">
        <v>24</v>
      </c>
      <c r="D33">
        <f>IFERROR('Data Sheet'!F57,0)</f>
        <v>35.549999999999997</v>
      </c>
      <c r="E33">
        <f>IFERROR('Data Sheet'!G57,0)</f>
        <v>35.549999999999997</v>
      </c>
      <c r="F33">
        <f>IFERROR('Data Sheet'!H57,0)</f>
        <v>35.549999999999997</v>
      </c>
      <c r="G33">
        <f>IFERROR('Data Sheet'!I57,0)</f>
        <v>35.549999999999997</v>
      </c>
      <c r="H33">
        <f>IFERROR('Data Sheet'!J57,0)</f>
        <v>35.549999999999997</v>
      </c>
    </row>
    <row r="34" spans="2:8" outlineLevel="1" x14ac:dyDescent="0.25">
      <c r="B34" s="6" t="s">
        <v>25</v>
      </c>
      <c r="D34">
        <f>IFERROR('Data Sheet'!F58,0)</f>
        <v>2277.48</v>
      </c>
      <c r="E34">
        <f>IFERROR('Data Sheet'!G58,0)</f>
        <v>2328.4499999999998</v>
      </c>
      <c r="F34">
        <f>IFERROR('Data Sheet'!H58,0)</f>
        <v>2559.94</v>
      </c>
      <c r="G34">
        <f>IFERROR('Data Sheet'!I58,0)</f>
        <v>4032.19</v>
      </c>
      <c r="H34">
        <f>IFERROR('Data Sheet'!J58,0)</f>
        <v>5426.19</v>
      </c>
    </row>
    <row r="35" spans="2:8" outlineLevel="1" x14ac:dyDescent="0.25">
      <c r="B35" s="6" t="s">
        <v>71</v>
      </c>
      <c r="D35">
        <f>IFERROR('Data Sheet'!F59,0)</f>
        <v>2963.63</v>
      </c>
      <c r="E35">
        <f>IFERROR('Data Sheet'!G59,0)</f>
        <v>4725.3599999999997</v>
      </c>
      <c r="F35">
        <f>IFERROR('Data Sheet'!H59,0)</f>
        <v>4464.1400000000003</v>
      </c>
      <c r="G35">
        <f>IFERROR('Data Sheet'!I59,0)</f>
        <v>1752.99</v>
      </c>
      <c r="H35">
        <f>IFERROR('Data Sheet'!J59,0)</f>
        <v>2237.19</v>
      </c>
    </row>
    <row r="36" spans="2:8" outlineLevel="1" x14ac:dyDescent="0.25">
      <c r="B36" s="6" t="s">
        <v>72</v>
      </c>
      <c r="D36">
        <f>IFERROR('Data Sheet'!F60,0)</f>
        <v>447.07</v>
      </c>
      <c r="E36">
        <f>IFERROR('Data Sheet'!G60,0)</f>
        <v>636.66</v>
      </c>
      <c r="F36">
        <f>IFERROR('Data Sheet'!H60,0)</f>
        <v>1021.9</v>
      </c>
      <c r="G36">
        <f>IFERROR('Data Sheet'!I60,0)</f>
        <v>1341.02</v>
      </c>
      <c r="H36">
        <f>IFERROR('Data Sheet'!J60,0)</f>
        <v>1720.71</v>
      </c>
    </row>
    <row r="37" spans="2:8" ht="15.75" outlineLevel="1" thickBot="1" x14ac:dyDescent="0.3">
      <c r="B37" s="43" t="s">
        <v>112</v>
      </c>
      <c r="C37" s="37"/>
      <c r="D37" s="37">
        <f>SUM(D33:D36)</f>
        <v>5723.73</v>
      </c>
      <c r="E37" s="37">
        <f t="shared" ref="E37:H37" si="1">SUM(E33:E36)</f>
        <v>7726.0199999999995</v>
      </c>
      <c r="F37" s="37">
        <f t="shared" si="1"/>
        <v>8081.5300000000007</v>
      </c>
      <c r="G37" s="37">
        <f t="shared" si="1"/>
        <v>7161.75</v>
      </c>
      <c r="H37" s="37">
        <f t="shared" si="1"/>
        <v>9419.64</v>
      </c>
    </row>
    <row r="38" spans="2:8" ht="15.75" outlineLevel="1" thickTop="1" x14ac:dyDescent="0.25">
      <c r="B38" s="1"/>
    </row>
    <row r="39" spans="2:8" outlineLevel="1" x14ac:dyDescent="0.25">
      <c r="B39" s="6" t="s">
        <v>27</v>
      </c>
      <c r="D39">
        <f>IFERROR('Data Sheet'!F62,0)</f>
        <v>3053.82</v>
      </c>
      <c r="E39">
        <f>IFERROR('Data Sheet'!G62,0)</f>
        <v>4686.71</v>
      </c>
      <c r="F39">
        <f>IFERROR('Data Sheet'!H62,0)</f>
        <v>4526.95</v>
      </c>
      <c r="G39">
        <f>IFERROR('Data Sheet'!I62,0)</f>
        <v>2449.92</v>
      </c>
      <c r="H39">
        <f>IFERROR('Data Sheet'!J62,0)</f>
        <v>3895.13</v>
      </c>
    </row>
    <row r="40" spans="2:8" outlineLevel="1" x14ac:dyDescent="0.25">
      <c r="B40" s="6" t="s">
        <v>28</v>
      </c>
      <c r="D40">
        <f>IFERROR('Data Sheet'!F63,0)</f>
        <v>107.98</v>
      </c>
      <c r="E40">
        <f>IFERROR('Data Sheet'!G63,0)</f>
        <v>104.72</v>
      </c>
      <c r="F40">
        <f>IFERROR('Data Sheet'!H63,0)</f>
        <v>101.72</v>
      </c>
      <c r="G40">
        <f>IFERROR('Data Sheet'!I63,0)</f>
        <v>223.78</v>
      </c>
      <c r="H40">
        <f>IFERROR('Data Sheet'!J63,0)</f>
        <v>179.5</v>
      </c>
    </row>
    <row r="41" spans="2:8" outlineLevel="1" x14ac:dyDescent="0.25">
      <c r="B41" s="6" t="s">
        <v>29</v>
      </c>
      <c r="D41">
        <f>IFERROR('Data Sheet'!F64,0)</f>
        <v>1487.29</v>
      </c>
      <c r="E41">
        <f>IFERROR('Data Sheet'!G64,0)</f>
        <v>1283.72</v>
      </c>
      <c r="F41">
        <f>IFERROR('Data Sheet'!H64,0)</f>
        <v>1109.8699999999999</v>
      </c>
      <c r="G41">
        <f>IFERROR('Data Sheet'!I64,0)</f>
        <v>1416.03</v>
      </c>
      <c r="H41">
        <f>IFERROR('Data Sheet'!J64,0)</f>
        <v>1480.25</v>
      </c>
    </row>
    <row r="42" spans="2:8" outlineLevel="1" x14ac:dyDescent="0.25">
      <c r="B42" s="6" t="s">
        <v>73</v>
      </c>
      <c r="D42">
        <f>IFERROR(('Data Sheet'!F65-SUM('Data Sheet'!F67:F69)),0)</f>
        <v>544.0100000000001</v>
      </c>
      <c r="E42">
        <f>IFERROR(('Data Sheet'!G65-SUM('Data Sheet'!G67:G69)),0)</f>
        <v>678.8599999999999</v>
      </c>
      <c r="F42">
        <f>IFERROR(('Data Sheet'!H65-SUM('Data Sheet'!H67:H69)),0)</f>
        <v>861.13999999999965</v>
      </c>
      <c r="G42">
        <f>IFERROR(('Data Sheet'!I65-SUM('Data Sheet'!I67:I69)),0)</f>
        <v>1109.99</v>
      </c>
      <c r="H42">
        <f>IFERROR(('Data Sheet'!J65-SUM('Data Sheet'!J67:J69)),0)</f>
        <v>1416.92</v>
      </c>
    </row>
    <row r="43" spans="2:8" outlineLevel="1" x14ac:dyDescent="0.25">
      <c r="B43" s="39" t="s">
        <v>113</v>
      </c>
      <c r="C43" s="40"/>
      <c r="D43" s="40">
        <f>SUM(D39:D42)</f>
        <v>5193.1000000000004</v>
      </c>
      <c r="E43" s="40">
        <f t="shared" ref="E43:H43" si="2">SUM(E39:E42)</f>
        <v>6754.01</v>
      </c>
      <c r="F43" s="40">
        <f t="shared" si="2"/>
        <v>6599.6799999999994</v>
      </c>
      <c r="G43" s="40">
        <f t="shared" si="2"/>
        <v>5199.72</v>
      </c>
      <c r="H43" s="40">
        <f t="shared" si="2"/>
        <v>6971.8</v>
      </c>
    </row>
    <row r="44" spans="2:8" outlineLevel="1" x14ac:dyDescent="0.25">
      <c r="B44" s="6" t="s">
        <v>78</v>
      </c>
      <c r="D44">
        <f>IFERROR('Data Sheet'!F67,0)</f>
        <v>20.77</v>
      </c>
      <c r="E44">
        <f>IFERROR('Data Sheet'!G67,0)</f>
        <v>18.260000000000002</v>
      </c>
      <c r="F44">
        <f>IFERROR('Data Sheet'!H67,0)</f>
        <v>34.39</v>
      </c>
      <c r="G44">
        <f>IFERROR('Data Sheet'!I67,0)</f>
        <v>81.739999999999995</v>
      </c>
      <c r="H44">
        <f>IFERROR('Data Sheet'!J67,0)</f>
        <v>62.95</v>
      </c>
    </row>
    <row r="45" spans="2:8" outlineLevel="1" x14ac:dyDescent="0.25">
      <c r="B45" s="6" t="s">
        <v>45</v>
      </c>
      <c r="D45">
        <f>IFERROR('Data Sheet'!F68,0)</f>
        <v>428.39</v>
      </c>
      <c r="E45">
        <f>IFERROR('Data Sheet'!G68,0)</f>
        <v>867.78</v>
      </c>
      <c r="F45">
        <f>IFERROR('Data Sheet'!H68,0)</f>
        <v>1361.16</v>
      </c>
      <c r="G45">
        <f>IFERROR('Data Sheet'!I68,0)</f>
        <v>1582.73</v>
      </c>
      <c r="H45">
        <f>IFERROR('Data Sheet'!J68,0)</f>
        <v>2045.05</v>
      </c>
    </row>
    <row r="46" spans="2:8" outlineLevel="1" x14ac:dyDescent="0.25">
      <c r="B46" s="4" t="s">
        <v>87</v>
      </c>
      <c r="D46">
        <f>IFERROR('Data Sheet'!F69,0)</f>
        <v>81.47</v>
      </c>
      <c r="E46">
        <f>IFERROR('Data Sheet'!G69,0)</f>
        <v>85.97</v>
      </c>
      <c r="F46">
        <f>IFERROR('Data Sheet'!H69,0)</f>
        <v>86.3</v>
      </c>
      <c r="G46">
        <f>IFERROR('Data Sheet'!I69,0)</f>
        <v>297.56</v>
      </c>
      <c r="H46">
        <f>IFERROR('Data Sheet'!J69,0)</f>
        <v>339.84</v>
      </c>
    </row>
    <row r="47" spans="2:8" outlineLevel="1" x14ac:dyDescent="0.25">
      <c r="B47" s="41" t="s">
        <v>114</v>
      </c>
      <c r="C47" s="40"/>
      <c r="D47" s="40">
        <f>SUM(D44:D46)</f>
        <v>530.63</v>
      </c>
      <c r="E47" s="40">
        <f t="shared" ref="E47:H47" si="3">SUM(E44:E46)</f>
        <v>972.01</v>
      </c>
      <c r="F47" s="40">
        <f t="shared" si="3"/>
        <v>1481.8500000000001</v>
      </c>
      <c r="G47" s="40">
        <f t="shared" si="3"/>
        <v>1962.03</v>
      </c>
      <c r="H47" s="40">
        <f t="shared" si="3"/>
        <v>2447.84</v>
      </c>
    </row>
    <row r="48" spans="2:8" outlineLevel="1" x14ac:dyDescent="0.25"/>
    <row r="49" spans="1:8" ht="15.75" outlineLevel="1" thickBot="1" x14ac:dyDescent="0.3">
      <c r="B49" s="42" t="s">
        <v>115</v>
      </c>
      <c r="C49" s="37"/>
      <c r="D49" s="37">
        <f>SUM(D43,D47)</f>
        <v>5723.7300000000005</v>
      </c>
      <c r="E49" s="37">
        <f t="shared" ref="E49:H49" si="4">SUM(E43,E47)</f>
        <v>7726.02</v>
      </c>
      <c r="F49" s="37">
        <f t="shared" si="4"/>
        <v>8081.53</v>
      </c>
      <c r="G49" s="37">
        <f t="shared" si="4"/>
        <v>7161.75</v>
      </c>
      <c r="H49" s="37">
        <f t="shared" si="4"/>
        <v>9419.64</v>
      </c>
    </row>
    <row r="50" spans="1:8" ht="15.75" thickTop="1" x14ac:dyDescent="0.25"/>
    <row r="52" spans="1:8" x14ac:dyDescent="0.25">
      <c r="A52" t="s">
        <v>213</v>
      </c>
      <c r="B52" s="108" t="str">
        <f>"CashFlow Statement "&amp;" - "&amp;'Data Sheet'!B1</f>
        <v>CashFlow Statement  - TRENT LTD</v>
      </c>
      <c r="C52" s="108"/>
      <c r="D52" s="108"/>
      <c r="E52" s="108"/>
      <c r="F52" s="108"/>
      <c r="G52" s="108"/>
      <c r="H52" s="108"/>
    </row>
    <row r="53" spans="1:8" s="47" customFormat="1" outlineLevel="1" x14ac:dyDescent="0.25">
      <c r="B53" s="45"/>
      <c r="C53" s="45"/>
      <c r="D53" s="45"/>
      <c r="E53" s="45"/>
      <c r="F53" s="46"/>
      <c r="G53" s="46"/>
      <c r="H53" s="46"/>
    </row>
    <row r="54" spans="1:8" outlineLevel="1" x14ac:dyDescent="0.25">
      <c r="B54" s="25" t="s">
        <v>205</v>
      </c>
      <c r="C54" s="25"/>
      <c r="D54" s="103">
        <f>D3</f>
        <v>44286</v>
      </c>
      <c r="E54" s="103">
        <f t="shared" ref="E54:H54" si="5">E3</f>
        <v>44651</v>
      </c>
      <c r="F54" s="103">
        <f t="shared" si="5"/>
        <v>45016</v>
      </c>
      <c r="G54" s="103">
        <f t="shared" si="5"/>
        <v>45382</v>
      </c>
      <c r="H54" s="103">
        <f t="shared" si="5"/>
        <v>45747</v>
      </c>
    </row>
    <row r="55" spans="1:8" outlineLevel="1" x14ac:dyDescent="0.25">
      <c r="B55" s="34" t="s">
        <v>206</v>
      </c>
      <c r="C55" s="40"/>
      <c r="D55" s="40"/>
      <c r="E55" s="40"/>
      <c r="F55" s="40"/>
      <c r="G55" s="40"/>
      <c r="H55" s="40"/>
    </row>
    <row r="56" spans="1:8" outlineLevel="1" x14ac:dyDescent="0.25">
      <c r="B56" s="2" t="s">
        <v>177</v>
      </c>
      <c r="C56" s="2"/>
      <c r="D56" s="119">
        <f>IFERROR('Cashflow Row data'!C5,0)</f>
        <v>180</v>
      </c>
      <c r="E56" s="119">
        <f>IFERROR('Cashflow Row data'!D5,0)</f>
        <v>569</v>
      </c>
      <c r="F56" s="119">
        <f>IFERROR('Cashflow Row data'!E5,0)</f>
        <v>1079</v>
      </c>
      <c r="G56" s="119">
        <f>IFERROR('Cashflow Row data'!F5,0)</f>
        <v>1919</v>
      </c>
      <c r="H56" s="119">
        <f>IFERROR('Cashflow Row data'!G5,0)</f>
        <v>2723</v>
      </c>
    </row>
    <row r="57" spans="1:8" outlineLevel="1" x14ac:dyDescent="0.25">
      <c r="B57" t="s">
        <v>78</v>
      </c>
      <c r="D57" s="120">
        <f>IFERROR('Cashflow Row data'!C6,0)</f>
        <v>-39</v>
      </c>
      <c r="E57" s="120">
        <f>IFERROR('Cashflow Row data'!D6,0)</f>
        <v>-103</v>
      </c>
      <c r="F57" s="120">
        <f>IFERROR('Cashflow Row data'!E6,0)</f>
        <v>-101</v>
      </c>
      <c r="G57" s="120">
        <f>IFERROR('Cashflow Row data'!F6,0)</f>
        <v>-208</v>
      </c>
      <c r="H57" s="120">
        <f>IFERROR('Cashflow Row data'!G6,0)</f>
        <v>-203</v>
      </c>
    </row>
    <row r="58" spans="1:8" outlineLevel="1" x14ac:dyDescent="0.25">
      <c r="B58" t="s">
        <v>45</v>
      </c>
      <c r="D58" s="120">
        <f>IFERROR('Cashflow Row data'!C7,0)</f>
        <v>179</v>
      </c>
      <c r="E58" s="120">
        <f>IFERROR('Cashflow Row data'!D7,0)</f>
        <v>-439</v>
      </c>
      <c r="F58" s="120">
        <f>IFERROR('Cashflow Row data'!E7,0)</f>
        <v>-494</v>
      </c>
      <c r="G58" s="120">
        <f>IFERROR('Cashflow Row data'!F7,0)</f>
        <v>-222</v>
      </c>
      <c r="H58" s="120">
        <f>IFERROR('Cashflow Row data'!G7,0)</f>
        <v>-462</v>
      </c>
    </row>
    <row r="59" spans="1:8" outlineLevel="1" x14ac:dyDescent="0.25">
      <c r="B59" t="s">
        <v>178</v>
      </c>
      <c r="D59" s="120">
        <f>IFERROR('Cashflow Row data'!C8,0)</f>
        <v>-11</v>
      </c>
      <c r="E59" s="120">
        <f>IFERROR('Cashflow Row data'!D8,0)</f>
        <v>134</v>
      </c>
      <c r="F59" s="120">
        <f>IFERROR('Cashflow Row data'!E8,0)</f>
        <v>332</v>
      </c>
      <c r="G59" s="120">
        <f>IFERROR('Cashflow Row data'!F8,0)</f>
        <v>178</v>
      </c>
      <c r="H59" s="120">
        <f>IFERROR('Cashflow Row data'!G8,0)</f>
        <v>212</v>
      </c>
    </row>
    <row r="60" spans="1:8" outlineLevel="1" x14ac:dyDescent="0.25">
      <c r="B60" t="s">
        <v>179</v>
      </c>
      <c r="D60" s="120">
        <f>IFERROR('Cashflow Row data'!C9,0)</f>
        <v>0</v>
      </c>
      <c r="E60" s="120">
        <f>IFERROR('Cashflow Row data'!D9,0)</f>
        <v>0</v>
      </c>
      <c r="F60" s="120">
        <f>IFERROR('Cashflow Row data'!E9,0)</f>
        <v>0</v>
      </c>
      <c r="G60" s="120">
        <f>IFERROR('Cashflow Row data'!F9,0)</f>
        <v>0</v>
      </c>
      <c r="H60" s="120">
        <f>IFERROR('Cashflow Row data'!G9,0)</f>
        <v>0</v>
      </c>
    </row>
    <row r="61" spans="1:8" outlineLevel="1" x14ac:dyDescent="0.25">
      <c r="B61" t="s">
        <v>180</v>
      </c>
      <c r="D61" s="120">
        <f>IFERROR('Cashflow Row data'!C10,0)</f>
        <v>-23</v>
      </c>
      <c r="E61" s="120">
        <f>IFERROR('Cashflow Row data'!D10,0)</f>
        <v>-22</v>
      </c>
      <c r="F61" s="120">
        <f>IFERROR('Cashflow Row data'!E10,0)</f>
        <v>-30</v>
      </c>
      <c r="G61" s="120">
        <f>IFERROR('Cashflow Row data'!F10,0)</f>
        <v>-20</v>
      </c>
      <c r="H61" s="120">
        <f>IFERROR('Cashflow Row data'!G10,0)</f>
        <v>-115</v>
      </c>
    </row>
    <row r="62" spans="1:8" outlineLevel="1" x14ac:dyDescent="0.25">
      <c r="B62" s="2" t="s">
        <v>181</v>
      </c>
      <c r="C62" s="2"/>
      <c r="D62" s="119">
        <f>IFERROR('Cashflow Row data'!C11,0)</f>
        <v>106</v>
      </c>
      <c r="E62" s="119">
        <f>IFERROR('Cashflow Row data'!D11,0)</f>
        <v>-430</v>
      </c>
      <c r="F62" s="119">
        <f>IFERROR('Cashflow Row data'!E11,0)</f>
        <v>-293</v>
      </c>
      <c r="G62" s="119">
        <f>IFERROR('Cashflow Row data'!F11,0)</f>
        <v>-272</v>
      </c>
      <c r="H62" s="119">
        <f>IFERROR('Cashflow Row data'!G11,0)</f>
        <v>-568</v>
      </c>
    </row>
    <row r="63" spans="1:8" outlineLevel="1" x14ac:dyDescent="0.25">
      <c r="B63" t="s">
        <v>182</v>
      </c>
      <c r="D63" s="120">
        <f>IFERROR('Cashflow Row data'!C12,0)</f>
        <v>0</v>
      </c>
      <c r="E63" s="120">
        <f>IFERROR('Cashflow Row data'!D12,0)</f>
        <v>0</v>
      </c>
      <c r="F63" s="120">
        <f>IFERROR('Cashflow Row data'!E12,0)</f>
        <v>0</v>
      </c>
      <c r="G63" s="120">
        <f>IFERROR('Cashflow Row data'!F12,0)</f>
        <v>0</v>
      </c>
      <c r="H63" s="120">
        <f>IFERROR('Cashflow Row data'!G12,0)</f>
        <v>0</v>
      </c>
    </row>
    <row r="64" spans="1:8" outlineLevel="1" x14ac:dyDescent="0.25">
      <c r="B64" t="s">
        <v>183</v>
      </c>
      <c r="D64" s="120">
        <f>IFERROR('Cashflow Row data'!C13,0)</f>
        <v>-1</v>
      </c>
      <c r="E64" s="120">
        <f>IFERROR('Cashflow Row data'!D13,0)</f>
        <v>-82</v>
      </c>
      <c r="F64" s="120">
        <f>IFERROR('Cashflow Row data'!E13,0)</f>
        <v>-191</v>
      </c>
      <c r="G64" s="120">
        <f>IFERROR('Cashflow Row data'!F13,0)</f>
        <v>-299</v>
      </c>
      <c r="H64" s="120">
        <f>IFERROR('Cashflow Row data'!G13,0)</f>
        <v>-494</v>
      </c>
    </row>
    <row r="65" spans="2:8" outlineLevel="1" x14ac:dyDescent="0.25">
      <c r="B65" s="117" t="s">
        <v>209</v>
      </c>
      <c r="C65" s="117"/>
      <c r="D65" s="124">
        <f>SUM(D56,D62)+D64</f>
        <v>285</v>
      </c>
      <c r="E65" s="124">
        <f t="shared" ref="E65:H65" si="6">SUM(E56,E62)+E64</f>
        <v>57</v>
      </c>
      <c r="F65" s="124">
        <f t="shared" si="6"/>
        <v>595</v>
      </c>
      <c r="G65" s="124">
        <f t="shared" si="6"/>
        <v>1348</v>
      </c>
      <c r="H65" s="124">
        <f t="shared" si="6"/>
        <v>1661</v>
      </c>
    </row>
    <row r="66" spans="2:8" outlineLevel="1" x14ac:dyDescent="0.25">
      <c r="B66" s="122"/>
      <c r="C66" s="122"/>
      <c r="D66" s="123"/>
      <c r="E66" s="123"/>
      <c r="F66" s="123"/>
      <c r="G66" s="123"/>
      <c r="H66" s="123"/>
    </row>
    <row r="67" spans="2:8" outlineLevel="1" x14ac:dyDescent="0.25">
      <c r="B67" s="34" t="s">
        <v>207</v>
      </c>
      <c r="C67" s="40"/>
      <c r="D67" s="40"/>
      <c r="E67" s="40"/>
      <c r="F67" s="40"/>
      <c r="G67" s="40"/>
      <c r="H67" s="40"/>
    </row>
    <row r="68" spans="2:8" outlineLevel="1" x14ac:dyDescent="0.25">
      <c r="B68" t="s">
        <v>185</v>
      </c>
      <c r="D68" s="120">
        <f>IFERROR('Cashflow Row data'!C15,0)</f>
        <v>-113</v>
      </c>
      <c r="E68" s="120">
        <f>IFERROR('Cashflow Row data'!D15,0)</f>
        <v>-271</v>
      </c>
      <c r="F68" s="120">
        <f>IFERROR('Cashflow Row data'!E15,0)</f>
        <v>-503</v>
      </c>
      <c r="G68" s="120">
        <f>IFERROR('Cashflow Row data'!F15,0)</f>
        <v>-737</v>
      </c>
      <c r="H68" s="120">
        <f>IFERROR('Cashflow Row data'!G15,0)</f>
        <v>-1268</v>
      </c>
    </row>
    <row r="69" spans="2:8" outlineLevel="1" x14ac:dyDescent="0.25">
      <c r="B69" t="s">
        <v>186</v>
      </c>
      <c r="D69" s="120">
        <f>IFERROR('Cashflow Row data'!C16,0)</f>
        <v>22</v>
      </c>
      <c r="E69" s="120">
        <f>IFERROR('Cashflow Row data'!D16,0)</f>
        <v>61</v>
      </c>
      <c r="F69" s="120">
        <f>IFERROR('Cashflow Row data'!E16,0)</f>
        <v>280</v>
      </c>
      <c r="G69" s="120">
        <f>IFERROR('Cashflow Row data'!F16,0)</f>
        <v>343</v>
      </c>
      <c r="H69" s="120">
        <f>IFERROR('Cashflow Row data'!G16,0)</f>
        <v>407</v>
      </c>
    </row>
    <row r="70" spans="2:8" outlineLevel="1" x14ac:dyDescent="0.25">
      <c r="B70" t="s">
        <v>187</v>
      </c>
      <c r="D70" s="120">
        <f>IFERROR('Cashflow Row data'!C17,0)</f>
        <v>-591</v>
      </c>
      <c r="E70" s="120">
        <f>IFERROR('Cashflow Row data'!D17,0)</f>
        <v>-1322</v>
      </c>
      <c r="F70" s="120">
        <f>IFERROR('Cashflow Row data'!E17,0)</f>
        <v>-1610</v>
      </c>
      <c r="G70" s="120">
        <f>IFERROR('Cashflow Row data'!F17,0)</f>
        <v>-1938</v>
      </c>
      <c r="H70" s="120">
        <f>IFERROR('Cashflow Row data'!G17,0)</f>
        <v>-3885</v>
      </c>
    </row>
    <row r="71" spans="2:8" outlineLevel="1" x14ac:dyDescent="0.25">
      <c r="B71" t="s">
        <v>188</v>
      </c>
      <c r="D71" s="120">
        <f>IFERROR('Cashflow Row data'!C18,0)</f>
        <v>731</v>
      </c>
      <c r="E71" s="120">
        <f>IFERROR('Cashflow Row data'!D18,0)</f>
        <v>1530</v>
      </c>
      <c r="F71" s="120">
        <f>IFERROR('Cashflow Row data'!E18,0)</f>
        <v>1616</v>
      </c>
      <c r="G71" s="120">
        <f>IFERROR('Cashflow Row data'!F18,0)</f>
        <v>1808</v>
      </c>
      <c r="H71" s="120">
        <f>IFERROR('Cashflow Row data'!G18,0)</f>
        <v>3852</v>
      </c>
    </row>
    <row r="72" spans="2:8" outlineLevel="1" x14ac:dyDescent="0.25">
      <c r="B72" t="s">
        <v>189</v>
      </c>
      <c r="D72" s="120">
        <f>IFERROR('Cashflow Row data'!C19,0)</f>
        <v>21</v>
      </c>
      <c r="E72" s="120">
        <f>IFERROR('Cashflow Row data'!D19,0)</f>
        <v>15</v>
      </c>
      <c r="F72" s="120">
        <f>IFERROR('Cashflow Row data'!E19,0)</f>
        <v>8</v>
      </c>
      <c r="G72" s="120">
        <f>IFERROR('Cashflow Row data'!F19,0)</f>
        <v>2</v>
      </c>
      <c r="H72" s="120">
        <f>IFERROR('Cashflow Row data'!G19,0)</f>
        <v>6</v>
      </c>
    </row>
    <row r="73" spans="2:8" outlineLevel="1" x14ac:dyDescent="0.25">
      <c r="B73" t="s">
        <v>190</v>
      </c>
      <c r="D73" s="120">
        <f>IFERROR('Cashflow Row data'!C20,0)</f>
        <v>5</v>
      </c>
      <c r="E73" s="120">
        <f>IFERROR('Cashflow Row data'!D20,0)</f>
        <v>109</v>
      </c>
      <c r="F73" s="120">
        <f>IFERROR('Cashflow Row data'!E20,0)</f>
        <v>148</v>
      </c>
      <c r="G73" s="120">
        <f>IFERROR('Cashflow Row data'!F20,0)</f>
        <v>75</v>
      </c>
      <c r="H73" s="120">
        <f>IFERROR('Cashflow Row data'!G20,0)</f>
        <v>1</v>
      </c>
    </row>
    <row r="74" spans="2:8" outlineLevel="1" x14ac:dyDescent="0.25">
      <c r="B74" t="s">
        <v>191</v>
      </c>
      <c r="D74" s="120">
        <f>IFERROR('Cashflow Row data'!C21,0)</f>
        <v>0</v>
      </c>
      <c r="E74" s="120">
        <f>IFERROR('Cashflow Row data'!D21,0)</f>
        <v>0</v>
      </c>
      <c r="F74" s="120">
        <f>IFERROR('Cashflow Row data'!E21,0)</f>
        <v>0</v>
      </c>
      <c r="G74" s="120">
        <f>IFERROR('Cashflow Row data'!F21,0)</f>
        <v>0</v>
      </c>
      <c r="H74" s="120">
        <f>IFERROR('Cashflow Row data'!G21,0)</f>
        <v>0</v>
      </c>
    </row>
    <row r="75" spans="2:8" outlineLevel="1" x14ac:dyDescent="0.25">
      <c r="B75" t="s">
        <v>192</v>
      </c>
      <c r="D75" s="120">
        <f>IFERROR('Cashflow Row data'!C22,0)</f>
        <v>0</v>
      </c>
      <c r="E75" s="120">
        <f>IFERROR('Cashflow Row data'!D22,0)</f>
        <v>0</v>
      </c>
      <c r="F75" s="120">
        <f>IFERROR('Cashflow Row data'!E22,0)</f>
        <v>0</v>
      </c>
      <c r="G75" s="120">
        <f>IFERROR('Cashflow Row data'!F22,0)</f>
        <v>0</v>
      </c>
      <c r="H75" s="120">
        <f>IFERROR('Cashflow Row data'!G22,0)</f>
        <v>0</v>
      </c>
    </row>
    <row r="76" spans="2:8" outlineLevel="1" x14ac:dyDescent="0.25">
      <c r="B76" t="s">
        <v>193</v>
      </c>
      <c r="D76" s="120">
        <f>IFERROR('Cashflow Row data'!C23,0)</f>
        <v>-45</v>
      </c>
      <c r="E76" s="120">
        <f>IFERROR('Cashflow Row data'!D23,0)</f>
        <v>-66</v>
      </c>
      <c r="F76" s="120">
        <f>IFERROR('Cashflow Row data'!E23,0)</f>
        <v>-52</v>
      </c>
      <c r="G76" s="120">
        <f>IFERROR('Cashflow Row data'!F23,0)</f>
        <v>-62</v>
      </c>
      <c r="H76" s="120">
        <f>IFERROR('Cashflow Row data'!G23,0)</f>
        <v>-37</v>
      </c>
    </row>
    <row r="77" spans="2:8" outlineLevel="1" x14ac:dyDescent="0.25">
      <c r="B77" t="s">
        <v>194</v>
      </c>
      <c r="D77" s="120">
        <f>IFERROR('Cashflow Row data'!C24,0)</f>
        <v>-12</v>
      </c>
      <c r="E77" s="120">
        <f>IFERROR('Cashflow Row data'!D24,0)</f>
        <v>0</v>
      </c>
      <c r="F77" s="120">
        <f>IFERROR('Cashflow Row data'!E24,0)</f>
        <v>10</v>
      </c>
      <c r="G77" s="120">
        <f>IFERROR('Cashflow Row data'!F24,0)</f>
        <v>0</v>
      </c>
      <c r="H77" s="120">
        <f>IFERROR('Cashflow Row data'!G24,0)</f>
        <v>0</v>
      </c>
    </row>
    <row r="78" spans="2:8" outlineLevel="1" x14ac:dyDescent="0.25">
      <c r="B78" s="117" t="s">
        <v>184</v>
      </c>
      <c r="C78" s="118"/>
      <c r="D78" s="124">
        <f>SUM(D68:D77)</f>
        <v>18</v>
      </c>
      <c r="E78" s="124">
        <f t="shared" ref="E78:H78" si="7">SUM(E68:E77)</f>
        <v>56</v>
      </c>
      <c r="F78" s="124">
        <f t="shared" si="7"/>
        <v>-103</v>
      </c>
      <c r="G78" s="124">
        <f t="shared" si="7"/>
        <v>-509</v>
      </c>
      <c r="H78" s="124">
        <f t="shared" si="7"/>
        <v>-924</v>
      </c>
    </row>
    <row r="79" spans="2:8" outlineLevel="1" x14ac:dyDescent="0.25"/>
    <row r="80" spans="2:8" outlineLevel="1" x14ac:dyDescent="0.25">
      <c r="B80" s="40" t="s">
        <v>210</v>
      </c>
      <c r="C80" s="40"/>
      <c r="D80" s="40"/>
      <c r="E80" s="40"/>
      <c r="F80" s="40"/>
      <c r="G80" s="40"/>
      <c r="H80" s="40"/>
    </row>
    <row r="81" spans="2:8" outlineLevel="1" x14ac:dyDescent="0.25">
      <c r="B81" t="s">
        <v>196</v>
      </c>
      <c r="D81" s="120">
        <f>IFERROR('Cashflow Row data'!C26,0)</f>
        <v>0</v>
      </c>
      <c r="E81" s="120">
        <f>IFERROR('Cashflow Row data'!D26,0)</f>
        <v>551</v>
      </c>
      <c r="F81" s="120">
        <f>IFERROR('Cashflow Row data'!E26,0)</f>
        <v>46</v>
      </c>
      <c r="G81" s="120">
        <f>IFERROR('Cashflow Row data'!F26,0)</f>
        <v>36</v>
      </c>
      <c r="H81" s="120">
        <f>IFERROR('Cashflow Row data'!G26,0)</f>
        <v>93</v>
      </c>
    </row>
    <row r="82" spans="2:8" outlineLevel="1" x14ac:dyDescent="0.25">
      <c r="B82" t="s">
        <v>197</v>
      </c>
      <c r="D82" s="120">
        <f>IFERROR('Cashflow Row data'!C27,0)</f>
        <v>0</v>
      </c>
      <c r="E82" s="120">
        <f>IFERROR('Cashflow Row data'!D27,0)</f>
        <v>0</v>
      </c>
      <c r="F82" s="120">
        <f>IFERROR('Cashflow Row data'!E27,0)</f>
        <v>173</v>
      </c>
      <c r="G82" s="120">
        <f>IFERROR('Cashflow Row data'!F27,0)</f>
        <v>0</v>
      </c>
      <c r="H82" s="120">
        <f>IFERROR('Cashflow Row data'!G27,0)</f>
        <v>0</v>
      </c>
    </row>
    <row r="83" spans="2:8" outlineLevel="1" x14ac:dyDescent="0.25">
      <c r="B83" t="s">
        <v>198</v>
      </c>
      <c r="D83" s="120">
        <f>IFERROR('Cashflow Row data'!C28,0)</f>
        <v>0</v>
      </c>
      <c r="E83" s="120">
        <f>IFERROR('Cashflow Row data'!D28,0)</f>
        <v>-301</v>
      </c>
      <c r="F83" s="120">
        <f>IFERROR('Cashflow Row data'!E28,0)</f>
        <v>-173</v>
      </c>
      <c r="G83" s="120">
        <f>IFERROR('Cashflow Row data'!F28,0)</f>
        <v>0</v>
      </c>
      <c r="H83" s="120">
        <f>IFERROR('Cashflow Row data'!G28,0)</f>
        <v>0</v>
      </c>
    </row>
    <row r="84" spans="2:8" outlineLevel="1" x14ac:dyDescent="0.25">
      <c r="B84" t="s">
        <v>199</v>
      </c>
      <c r="D84" s="120">
        <f>IFERROR('Cashflow Row data'!C29,0)</f>
        <v>-184</v>
      </c>
      <c r="E84" s="120">
        <f>IFERROR('Cashflow Row data'!D29,0)</f>
        <v>-246</v>
      </c>
      <c r="F84" s="120">
        <f>IFERROR('Cashflow Row data'!E29,0)</f>
        <v>-359</v>
      </c>
      <c r="G84" s="120">
        <f>IFERROR('Cashflow Row data'!F29,0)</f>
        <v>-309</v>
      </c>
      <c r="H84" s="120">
        <f>IFERROR('Cashflow Row data'!G29,0)</f>
        <v>-134</v>
      </c>
    </row>
    <row r="85" spans="2:8" outlineLevel="1" x14ac:dyDescent="0.25">
      <c r="B85" t="s">
        <v>200</v>
      </c>
      <c r="D85" s="120">
        <f>IFERROR('Cashflow Row data'!C30,0)</f>
        <v>-36</v>
      </c>
      <c r="E85" s="120">
        <f>IFERROR('Cashflow Row data'!D30,0)</f>
        <v>-43</v>
      </c>
      <c r="F85" s="120">
        <f>IFERROR('Cashflow Row data'!E30,0)</f>
        <v>-39</v>
      </c>
      <c r="G85" s="120">
        <f>IFERROR('Cashflow Row data'!F30,0)</f>
        <v>-78</v>
      </c>
      <c r="H85" s="120">
        <f>IFERROR('Cashflow Row data'!G30,0)</f>
        <v>-114</v>
      </c>
    </row>
    <row r="86" spans="2:8" outlineLevel="1" x14ac:dyDescent="0.25">
      <c r="B86" t="s">
        <v>201</v>
      </c>
      <c r="D86" s="120">
        <f>IFERROR('Cashflow Row data'!C31,0)</f>
        <v>-63</v>
      </c>
      <c r="E86" s="120">
        <f>IFERROR('Cashflow Row data'!D31,0)</f>
        <v>-69</v>
      </c>
      <c r="F86" s="120">
        <f>IFERROR('Cashflow Row data'!E31,0)</f>
        <v>-140</v>
      </c>
      <c r="G86" s="120">
        <f>IFERROR('Cashflow Row data'!F31,0)</f>
        <v>-277</v>
      </c>
      <c r="H86" s="120">
        <f>IFERROR('Cashflow Row data'!G31,0)</f>
        <v>-540</v>
      </c>
    </row>
    <row r="87" spans="2:8" outlineLevel="1" x14ac:dyDescent="0.25">
      <c r="B87" t="s">
        <v>202</v>
      </c>
      <c r="D87" s="120">
        <f>IFERROR('Cashflow Row data'!C32,0)</f>
        <v>0</v>
      </c>
      <c r="E87" s="120">
        <f>IFERROR('Cashflow Row data'!D32,0)</f>
        <v>0</v>
      </c>
      <c r="F87" s="120">
        <f>IFERROR('Cashflow Row data'!E32,0)</f>
        <v>0</v>
      </c>
      <c r="G87" s="120">
        <f>IFERROR('Cashflow Row data'!F32,0)</f>
        <v>0</v>
      </c>
      <c r="H87" s="120">
        <f>IFERROR('Cashflow Row data'!G32,0)</f>
        <v>0</v>
      </c>
    </row>
    <row r="88" spans="2:8" outlineLevel="1" x14ac:dyDescent="0.25">
      <c r="B88" t="s">
        <v>203</v>
      </c>
      <c r="D88" s="120">
        <f>IFERROR('Cashflow Row data'!C33,0)</f>
        <v>0</v>
      </c>
      <c r="E88" s="120">
        <f>IFERROR('Cashflow Row data'!D33,0)</f>
        <v>0</v>
      </c>
      <c r="F88" s="120">
        <f>IFERROR('Cashflow Row data'!E33,0)</f>
        <v>0</v>
      </c>
      <c r="G88" s="120">
        <f>IFERROR('Cashflow Row data'!F33,0)</f>
        <v>0</v>
      </c>
      <c r="H88" s="120">
        <f>IFERROR('Cashflow Row data'!G33,0)</f>
        <v>0</v>
      </c>
    </row>
    <row r="89" spans="2:8" outlineLevel="1" x14ac:dyDescent="0.25">
      <c r="B89" t="s">
        <v>204</v>
      </c>
      <c r="D89" s="120">
        <f>IFERROR('Cashflow Row data'!C34,0)</f>
        <v>0</v>
      </c>
      <c r="E89" s="120">
        <f>IFERROR('Cashflow Row data'!D34,0)</f>
        <v>0</v>
      </c>
      <c r="F89" s="120">
        <f>IFERROR('Cashflow Row data'!E34,0)</f>
        <v>0</v>
      </c>
      <c r="G89" s="120">
        <f>IFERROR('Cashflow Row data'!F34,0)</f>
        <v>0</v>
      </c>
      <c r="H89" s="120">
        <f>IFERROR('Cashflow Row data'!G34,0)</f>
        <v>0</v>
      </c>
    </row>
    <row r="90" spans="2:8" outlineLevel="1" x14ac:dyDescent="0.25">
      <c r="B90" s="117" t="s">
        <v>208</v>
      </c>
      <c r="C90" s="117"/>
      <c r="D90" s="124">
        <f>SUM(D81:D89)</f>
        <v>-283</v>
      </c>
      <c r="E90" s="124">
        <f t="shared" ref="E90:H90" si="8">SUM(E81:E89)</f>
        <v>-108</v>
      </c>
      <c r="F90" s="124">
        <f t="shared" si="8"/>
        <v>-492</v>
      </c>
      <c r="G90" s="124">
        <f t="shared" si="8"/>
        <v>-628</v>
      </c>
      <c r="H90" s="124">
        <f t="shared" si="8"/>
        <v>-695</v>
      </c>
    </row>
    <row r="91" spans="2:8" ht="15.75" outlineLevel="1" thickBot="1" x14ac:dyDescent="0.3"/>
    <row r="92" spans="2:8" ht="15.75" outlineLevel="1" thickBot="1" x14ac:dyDescent="0.3">
      <c r="B92" s="126" t="s">
        <v>211</v>
      </c>
      <c r="C92" s="126"/>
      <c r="D92" s="127">
        <f>IFERROR(SUM(D65,D78,D90),0)</f>
        <v>20</v>
      </c>
      <c r="E92" s="127">
        <f t="shared" ref="E92:H92" si="9">IFERROR(SUM(E65,E78,E90),0)</f>
        <v>5</v>
      </c>
      <c r="F92" s="127">
        <f t="shared" si="9"/>
        <v>0</v>
      </c>
      <c r="G92" s="127">
        <f t="shared" si="9"/>
        <v>211</v>
      </c>
      <c r="H92" s="127">
        <f t="shared" si="9"/>
        <v>42</v>
      </c>
    </row>
    <row r="93" spans="2:8" ht="15.75" thickTop="1" x14ac:dyDescent="0.25"/>
  </sheetData>
  <mergeCells count="4">
    <mergeCell ref="B1:H2"/>
    <mergeCell ref="B5:H5"/>
    <mergeCell ref="B32:H32"/>
    <mergeCell ref="B52:H52"/>
  </mergeCells>
  <pageMargins left="0.7" right="0.7" top="0.75" bottom="0.75" header="0.3" footer="0.3"/>
  <pageSetup orientation="portrait" r:id="rId1"/>
  <ignoredErrors>
    <ignoredError sqref="D14:H14 D13:H1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BDC7-F31A-4C5D-A801-2F7E6A63CE04}">
  <sheetPr>
    <pageSetUpPr autoPageBreaks="0"/>
  </sheetPr>
  <dimension ref="B1:P46"/>
  <sheetViews>
    <sheetView showGridLines="0" topLeftCell="A27" zoomScale="82" zoomScaleNormal="82" workbookViewId="0">
      <selection activeCell="I51" sqref="A1:XFD1048576"/>
    </sheetView>
  </sheetViews>
  <sheetFormatPr defaultRowHeight="15" outlineLevelRow="1" x14ac:dyDescent="0.25"/>
  <cols>
    <col min="1" max="1" width="1.85546875" customWidth="1"/>
    <col min="2" max="10" width="14.7109375" customWidth="1"/>
    <col min="16" max="16" width="11.140625" customWidth="1"/>
    <col min="17" max="17" width="14.7109375" customWidth="1"/>
    <col min="18" max="19" width="12.42578125" customWidth="1"/>
  </cols>
  <sheetData>
    <row r="1" spans="2:16" x14ac:dyDescent="0.25">
      <c r="B1" s="111" t="s">
        <v>165</v>
      </c>
      <c r="C1" s="111"/>
      <c r="D1" s="111"/>
      <c r="E1" s="111"/>
      <c r="F1" s="111"/>
      <c r="G1" s="111"/>
      <c r="H1" s="111"/>
      <c r="I1" s="111"/>
      <c r="J1" s="111"/>
    </row>
    <row r="2" spans="2:16" x14ac:dyDescent="0.25">
      <c r="B2" s="111"/>
      <c r="C2" s="111"/>
      <c r="D2" s="111"/>
      <c r="E2" s="111"/>
      <c r="F2" s="111"/>
      <c r="G2" s="111"/>
      <c r="H2" s="111"/>
      <c r="I2" s="111"/>
      <c r="J2" s="111"/>
    </row>
    <row r="3" spans="2:16" s="47" customFormat="1" ht="21.75" customHeight="1" x14ac:dyDescent="0.25">
      <c r="B3" s="128" t="s">
        <v>212</v>
      </c>
      <c r="C3" s="128"/>
      <c r="D3" s="128"/>
      <c r="E3" s="128"/>
      <c r="F3" s="128"/>
      <c r="G3" s="128"/>
      <c r="H3" s="128"/>
      <c r="I3" s="128"/>
      <c r="J3" s="128"/>
    </row>
    <row r="4" spans="2:16" s="47" customFormat="1" ht="18" customHeight="1" outlineLevel="1" thickBot="1" x14ac:dyDescent="0.3">
      <c r="B4" s="96"/>
      <c r="C4" s="96"/>
      <c r="D4" s="96"/>
      <c r="E4" s="96"/>
      <c r="F4" s="96"/>
      <c r="G4" s="96"/>
      <c r="H4" s="96"/>
      <c r="I4" s="96"/>
      <c r="J4" s="96"/>
    </row>
    <row r="5" spans="2:16" outlineLevel="1" x14ac:dyDescent="0.25">
      <c r="B5" s="79"/>
      <c r="C5" s="79"/>
      <c r="D5" s="79"/>
      <c r="E5" s="79"/>
      <c r="F5" s="79"/>
      <c r="G5" s="80" t="s">
        <v>138</v>
      </c>
      <c r="H5" s="80" t="s">
        <v>138</v>
      </c>
      <c r="I5" s="80" t="s">
        <v>141</v>
      </c>
      <c r="J5" s="80" t="s">
        <v>142</v>
      </c>
    </row>
    <row r="6" spans="2:16" ht="18" outlineLevel="1" thickBot="1" x14ac:dyDescent="0.3">
      <c r="B6" s="81" t="s">
        <v>133</v>
      </c>
      <c r="C6" s="81" t="s">
        <v>134</v>
      </c>
      <c r="D6" s="81" t="s">
        <v>135</v>
      </c>
      <c r="E6" s="81" t="s">
        <v>137</v>
      </c>
      <c r="F6" s="81" t="s">
        <v>13</v>
      </c>
      <c r="G6" s="82" t="s">
        <v>136</v>
      </c>
      <c r="H6" s="82" t="s">
        <v>140</v>
      </c>
      <c r="I6" s="82" t="s">
        <v>143</v>
      </c>
      <c r="J6" s="82" t="s">
        <v>144</v>
      </c>
    </row>
    <row r="7" spans="2:16" outlineLevel="1" x14ac:dyDescent="0.25">
      <c r="B7" s="44" t="s">
        <v>145</v>
      </c>
      <c r="C7" s="44" t="s">
        <v>149</v>
      </c>
      <c r="D7" s="57">
        <v>152763.63</v>
      </c>
      <c r="E7" s="57">
        <v>2561.25</v>
      </c>
      <c r="F7" s="58">
        <v>0.25</v>
      </c>
      <c r="G7" s="74">
        <f>E7/D7</f>
        <v>1.6766098056193088E-2</v>
      </c>
      <c r="H7" s="74">
        <f>E7/(D7+E7)</f>
        <v>1.6489631281221655E-2</v>
      </c>
      <c r="I7" s="58">
        <v>1.6</v>
      </c>
      <c r="J7" s="74">
        <f>I7/(1+(1-F7)*G7)</f>
        <v>1.5801305324139723</v>
      </c>
    </row>
    <row r="8" spans="2:16" outlineLevel="1" x14ac:dyDescent="0.25">
      <c r="B8" s="44" t="s">
        <v>146</v>
      </c>
      <c r="C8" s="44" t="s">
        <v>149</v>
      </c>
      <c r="D8" s="57">
        <v>92698.57</v>
      </c>
      <c r="E8" s="57">
        <v>2857.8</v>
      </c>
      <c r="F8" s="58">
        <v>0.25</v>
      </c>
      <c r="G8" s="74">
        <f>E8/D8</f>
        <v>3.0828954535113109E-2</v>
      </c>
      <c r="H8" s="74">
        <f>E8/(D8+E8)</f>
        <v>2.9906954397702631E-2</v>
      </c>
      <c r="I8" s="58">
        <v>0.25</v>
      </c>
      <c r="J8" s="74">
        <f t="shared" ref="J8:J10" si="0">I8/(1+(1-F8)*G8)</f>
        <v>0.24435020400261825</v>
      </c>
    </row>
    <row r="9" spans="2:16" outlineLevel="1" x14ac:dyDescent="0.25">
      <c r="B9" s="44" t="s">
        <v>147</v>
      </c>
      <c r="C9" s="44" t="s">
        <v>149</v>
      </c>
      <c r="D9" s="57">
        <v>12835.01</v>
      </c>
      <c r="E9" s="57">
        <v>3496.03</v>
      </c>
      <c r="F9" s="58">
        <v>0.25</v>
      </c>
      <c r="G9" s="74">
        <f>E9/D9</f>
        <v>0.27238233550266033</v>
      </c>
      <c r="H9" s="74">
        <f>E9/(D9+E9)</f>
        <v>0.21407271061732749</v>
      </c>
      <c r="I9" s="58">
        <v>0.88</v>
      </c>
      <c r="J9" s="74">
        <f t="shared" si="0"/>
        <v>0.73072297674213982</v>
      </c>
    </row>
    <row r="10" spans="2:16" outlineLevel="1" x14ac:dyDescent="0.25">
      <c r="B10" s="75" t="s">
        <v>148</v>
      </c>
      <c r="C10" s="75" t="s">
        <v>149</v>
      </c>
      <c r="D10" s="76">
        <v>10935</v>
      </c>
      <c r="E10" s="77">
        <v>463.76</v>
      </c>
      <c r="F10" s="76">
        <v>0.25</v>
      </c>
      <c r="G10" s="78">
        <f>E10/D10</f>
        <v>4.24106081390032E-2</v>
      </c>
      <c r="H10" s="78">
        <f>E10/(D10+E10)</f>
        <v>4.0685127154181683E-2</v>
      </c>
      <c r="I10" s="76">
        <v>1.28</v>
      </c>
      <c r="J10" s="78">
        <f t="shared" si="0"/>
        <v>1.2405409285976379</v>
      </c>
    </row>
    <row r="11" spans="2:16" outlineLevel="1" x14ac:dyDescent="0.25">
      <c r="D11" s="62"/>
      <c r="E11" s="62"/>
      <c r="F11" s="62"/>
    </row>
    <row r="12" spans="2:16" outlineLevel="1" x14ac:dyDescent="0.25">
      <c r="E12" s="83" t="s">
        <v>150</v>
      </c>
      <c r="F12" s="84">
        <f>AVERAGE(F7:F10)</f>
        <v>0.25</v>
      </c>
      <c r="G12" s="84">
        <f>AVERAGE(G7:G10)</f>
        <v>9.0596999058242436E-2</v>
      </c>
      <c r="H12" s="84">
        <f>AVERAGE(H7:H10)</f>
        <v>7.5288605862608354E-2</v>
      </c>
      <c r="I12" s="84">
        <f>AVERAGE(I7:I10)</f>
        <v>1.0024999999999999</v>
      </c>
      <c r="J12" s="84">
        <f>AVERAGE(J7:J10)</f>
        <v>0.94893616043909201</v>
      </c>
    </row>
    <row r="13" spans="2:16" outlineLevel="1" x14ac:dyDescent="0.25">
      <c r="E13" s="85" t="s">
        <v>151</v>
      </c>
      <c r="F13" s="86">
        <f>MEDIAN(F7:F10)</f>
        <v>0.25</v>
      </c>
      <c r="G13" s="86">
        <f>MEDIAN(G7:G10)</f>
        <v>3.6619781337058156E-2</v>
      </c>
      <c r="H13" s="86">
        <f>MEDIAN(H7:H10)</f>
        <v>3.5296040775942158E-2</v>
      </c>
      <c r="I13" s="86">
        <f>MEDIAN(I7:I10)</f>
        <v>1.08</v>
      </c>
      <c r="J13" s="86">
        <f>MEDIAN(J7:J10)</f>
        <v>0.9856319526698889</v>
      </c>
    </row>
    <row r="14" spans="2:16" outlineLevel="1" x14ac:dyDescent="0.25"/>
    <row r="15" spans="2:16" outlineLevel="1" x14ac:dyDescent="0.25">
      <c r="P15" s="64"/>
    </row>
    <row r="16" spans="2:16" outlineLevel="1" x14ac:dyDescent="0.25">
      <c r="N16" s="55"/>
    </row>
    <row r="17" spans="2:14" outlineLevel="1" x14ac:dyDescent="0.25">
      <c r="N17" s="63"/>
    </row>
    <row r="18" spans="2:14" outlineLevel="1" x14ac:dyDescent="0.25">
      <c r="N18" s="63"/>
    </row>
    <row r="19" spans="2:14" outlineLevel="1" x14ac:dyDescent="0.25">
      <c r="B19" s="113" t="s">
        <v>152</v>
      </c>
      <c r="C19" s="113"/>
      <c r="D19" s="113"/>
      <c r="E19" s="113"/>
      <c r="G19" s="113" t="s">
        <v>152</v>
      </c>
      <c r="H19" s="113"/>
      <c r="I19" s="113"/>
      <c r="J19" s="113"/>
    </row>
    <row r="20" spans="2:14" outlineLevel="1" x14ac:dyDescent="0.25"/>
    <row r="21" spans="2:14" outlineLevel="1" x14ac:dyDescent="0.25">
      <c r="B21" t="s">
        <v>153</v>
      </c>
      <c r="D21" s="115">
        <v>7.8094494338149162E-2</v>
      </c>
      <c r="E21" s="115"/>
      <c r="G21" t="s">
        <v>156</v>
      </c>
      <c r="J21" s="49">
        <v>6.5000000000000002E-2</v>
      </c>
    </row>
    <row r="22" spans="2:14" outlineLevel="1" x14ac:dyDescent="0.25">
      <c r="B22" t="s">
        <v>154</v>
      </c>
      <c r="D22" s="116">
        <f>F7</f>
        <v>0.25</v>
      </c>
      <c r="E22" s="116"/>
      <c r="G22" t="s">
        <v>157</v>
      </c>
      <c r="J22" s="49">
        <v>0.15</v>
      </c>
    </row>
    <row r="23" spans="2:14" ht="17.25" outlineLevel="1" x14ac:dyDescent="0.25">
      <c r="B23" s="59" t="s">
        <v>155</v>
      </c>
      <c r="C23" s="59"/>
      <c r="D23" s="112">
        <f>D21*(1-D22)</f>
        <v>5.8570870753611871E-2</v>
      </c>
      <c r="E23" s="112"/>
      <c r="G23" t="s">
        <v>160</v>
      </c>
      <c r="J23" s="70">
        <f>J34</f>
        <v>1.045818452004132</v>
      </c>
    </row>
    <row r="24" spans="2:14" outlineLevel="1" x14ac:dyDescent="0.25">
      <c r="D24" s="60"/>
      <c r="E24" s="60"/>
      <c r="G24" s="59" t="s">
        <v>159</v>
      </c>
      <c r="H24" s="59"/>
      <c r="I24" s="59"/>
      <c r="J24" s="93">
        <f>J21+(J22-J21)*J23</f>
        <v>0.15389456842035121</v>
      </c>
    </row>
    <row r="25" spans="2:14" outlineLevel="1" x14ac:dyDescent="0.25"/>
    <row r="26" spans="2:14" outlineLevel="1" x14ac:dyDescent="0.25"/>
    <row r="27" spans="2:14" outlineLevel="1" x14ac:dyDescent="0.25"/>
    <row r="28" spans="2:14" outlineLevel="1" x14ac:dyDescent="0.25"/>
    <row r="29" spans="2:14" outlineLevel="1" x14ac:dyDescent="0.25">
      <c r="B29" s="113" t="s">
        <v>161</v>
      </c>
      <c r="C29" s="113"/>
      <c r="D29" s="113"/>
      <c r="E29" s="113"/>
      <c r="G29" s="114" t="s">
        <v>158</v>
      </c>
      <c r="H29" s="114"/>
      <c r="I29" s="114"/>
      <c r="J29" s="114"/>
    </row>
    <row r="30" spans="2:14" outlineLevel="1" x14ac:dyDescent="0.25">
      <c r="D30" s="65" t="s">
        <v>171</v>
      </c>
      <c r="E30" s="65" t="s">
        <v>172</v>
      </c>
    </row>
    <row r="31" spans="2:14" outlineLevel="1" x14ac:dyDescent="0.25">
      <c r="B31" t="s">
        <v>137</v>
      </c>
      <c r="C31">
        <f>E7</f>
        <v>2561.25</v>
      </c>
      <c r="D31" s="60">
        <f>C31/C33</f>
        <v>1.6489631281221655E-2</v>
      </c>
      <c r="E31" s="91">
        <f>H12</f>
        <v>7.5288605862608354E-2</v>
      </c>
      <c r="G31" t="s">
        <v>163</v>
      </c>
      <c r="I31" s="71"/>
      <c r="J31" s="98">
        <f>J13</f>
        <v>0.9856319526698889</v>
      </c>
    </row>
    <row r="32" spans="2:14" outlineLevel="1" x14ac:dyDescent="0.25">
      <c r="B32" t="s">
        <v>173</v>
      </c>
      <c r="C32">
        <f>D7</f>
        <v>152763.63</v>
      </c>
      <c r="D32" s="60">
        <f>C32/C33</f>
        <v>0.98351036871877839</v>
      </c>
      <c r="E32" s="91">
        <f>E33-E31</f>
        <v>0.92471139413739167</v>
      </c>
      <c r="G32" t="s">
        <v>154</v>
      </c>
      <c r="I32" s="71"/>
      <c r="J32" s="98">
        <f>D22</f>
        <v>0.25</v>
      </c>
    </row>
    <row r="33" spans="2:10" outlineLevel="1" x14ac:dyDescent="0.25">
      <c r="B33" s="59" t="s">
        <v>162</v>
      </c>
      <c r="C33" s="59">
        <f>SUM(C31:C32)</f>
        <v>155324.88</v>
      </c>
      <c r="D33" s="61">
        <f>SUM(D31:D32)</f>
        <v>1</v>
      </c>
      <c r="E33" s="92">
        <f>D33</f>
        <v>1</v>
      </c>
      <c r="G33" t="s">
        <v>164</v>
      </c>
      <c r="I33" s="72"/>
      <c r="J33" s="99">
        <f>E37</f>
        <v>8.1418490504100063E-2</v>
      </c>
    </row>
    <row r="34" spans="2:10" outlineLevel="1" x14ac:dyDescent="0.25">
      <c r="G34" s="59" t="s">
        <v>158</v>
      </c>
      <c r="H34" s="59"/>
      <c r="I34" s="73"/>
      <c r="J34" s="94">
        <f>J31*(1+(1-J32)*J33)</f>
        <v>1.045818452004132</v>
      </c>
    </row>
    <row r="35" spans="2:10" outlineLevel="1" x14ac:dyDescent="0.25"/>
    <row r="36" spans="2:10" outlineLevel="1" x14ac:dyDescent="0.25">
      <c r="B36" s="66"/>
      <c r="C36" s="66"/>
      <c r="D36" s="67" t="s">
        <v>171</v>
      </c>
      <c r="E36" s="67" t="s">
        <v>172</v>
      </c>
    </row>
    <row r="37" spans="2:10" outlineLevel="1" x14ac:dyDescent="0.25">
      <c r="B37" s="68" t="s">
        <v>139</v>
      </c>
      <c r="C37" s="68"/>
      <c r="D37" s="69">
        <f>D31/D32</f>
        <v>1.6766098056193085E-2</v>
      </c>
      <c r="E37" s="69">
        <f>E31/E32</f>
        <v>8.1418490504100063E-2</v>
      </c>
    </row>
    <row r="38" spans="2:10" outlineLevel="1" x14ac:dyDescent="0.25">
      <c r="G38" s="114" t="s">
        <v>165</v>
      </c>
      <c r="H38" s="114"/>
      <c r="I38" s="114"/>
      <c r="J38" s="114"/>
    </row>
    <row r="39" spans="2:10" s="47" customFormat="1" outlineLevel="1" x14ac:dyDescent="0.25">
      <c r="G39" s="97"/>
      <c r="H39" s="97"/>
      <c r="I39" s="97"/>
      <c r="J39" s="97"/>
    </row>
    <row r="40" spans="2:10" outlineLevel="1" x14ac:dyDescent="0.25">
      <c r="G40" s="59" t="s">
        <v>168</v>
      </c>
      <c r="H40" s="59"/>
      <c r="I40" s="59"/>
      <c r="J40" s="87">
        <f>D23</f>
        <v>5.8570870753611871E-2</v>
      </c>
    </row>
    <row r="41" spans="2:10" outlineLevel="1" x14ac:dyDescent="0.25">
      <c r="G41" s="88" t="s">
        <v>166</v>
      </c>
      <c r="H41" s="88"/>
      <c r="I41" s="88"/>
      <c r="J41" s="89">
        <f>E31</f>
        <v>7.5288605862608354E-2</v>
      </c>
    </row>
    <row r="42" spans="2:10" outlineLevel="1" x14ac:dyDescent="0.25">
      <c r="J42" s="62"/>
    </row>
    <row r="43" spans="2:10" outlineLevel="1" x14ac:dyDescent="0.25">
      <c r="G43" s="59" t="s">
        <v>167</v>
      </c>
      <c r="H43" s="59"/>
      <c r="I43" s="59"/>
      <c r="J43" s="87">
        <f>J24</f>
        <v>0.15389456842035121</v>
      </c>
    </row>
    <row r="44" spans="2:10" ht="15.75" outlineLevel="1" thickBot="1" x14ac:dyDescent="0.3">
      <c r="G44" t="s">
        <v>169</v>
      </c>
      <c r="J44" s="5">
        <f>E32</f>
        <v>0.92471139413739167</v>
      </c>
    </row>
    <row r="45" spans="2:10" ht="16.5" outlineLevel="1" thickTop="1" thickBot="1" x14ac:dyDescent="0.3">
      <c r="G45" s="90" t="s">
        <v>170</v>
      </c>
      <c r="H45" s="90"/>
      <c r="I45" s="90"/>
      <c r="J45" s="95">
        <f>(J40*J41)+(J43*J44)</f>
        <v>0.14671778011735365</v>
      </c>
    </row>
    <row r="46" spans="2:10" ht="15.75" thickTop="1" x14ac:dyDescent="0.25"/>
  </sheetData>
  <mergeCells count="10">
    <mergeCell ref="B1:J2"/>
    <mergeCell ref="D23:E23"/>
    <mergeCell ref="B29:E29"/>
    <mergeCell ref="G29:J29"/>
    <mergeCell ref="G38:J38"/>
    <mergeCell ref="D21:E21"/>
    <mergeCell ref="D22:E22"/>
    <mergeCell ref="B19:E19"/>
    <mergeCell ref="G19:J19"/>
    <mergeCell ref="B3:J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8587-A75A-4201-92F1-FA0BAEEB6027}">
  <dimension ref="A3:J79"/>
  <sheetViews>
    <sheetView showGridLines="0" topLeftCell="A2" workbookViewId="0">
      <pane xSplit="1" ySplit="5" topLeftCell="B51" activePane="bottomRight" state="frozen"/>
      <selection activeCell="A2" sqref="A2"/>
      <selection pane="topRight" activeCell="B2" sqref="B2"/>
      <selection pane="bottomLeft" activeCell="A5" sqref="A5"/>
      <selection pane="bottomRight" activeCell="I62" sqref="A1:XFD1048576"/>
    </sheetView>
  </sheetViews>
  <sheetFormatPr defaultRowHeight="15" x14ac:dyDescent="0.25"/>
  <cols>
    <col min="1" max="1" width="1.85546875" customWidth="1"/>
    <col min="2" max="2" width="30" bestFit="1" customWidth="1"/>
    <col min="4" max="4" width="21.140625" bestFit="1" customWidth="1"/>
    <col min="5" max="5" width="10.42578125" customWidth="1"/>
    <col min="9" max="10" width="20.42578125" bestFit="1" customWidth="1"/>
  </cols>
  <sheetData>
    <row r="3" spans="2:8" x14ac:dyDescent="0.25">
      <c r="B3" s="174" t="s">
        <v>260</v>
      </c>
      <c r="C3" s="174"/>
      <c r="D3" s="174"/>
      <c r="E3" s="174"/>
      <c r="F3" s="174"/>
      <c r="G3" s="174"/>
      <c r="H3" s="174"/>
    </row>
    <row r="4" spans="2:8" x14ac:dyDescent="0.25">
      <c r="B4" s="174"/>
      <c r="C4" s="174"/>
      <c r="D4" s="174"/>
      <c r="E4" s="174"/>
      <c r="F4" s="174"/>
      <c r="G4" s="174"/>
      <c r="H4" s="174"/>
    </row>
    <row r="6" spans="2:8" x14ac:dyDescent="0.25">
      <c r="B6" s="25" t="s">
        <v>214</v>
      </c>
      <c r="C6" s="25"/>
      <c r="D6" s="129">
        <f>'Historical Data'!D3</f>
        <v>44286</v>
      </c>
      <c r="E6" s="129">
        <f>'Historical Data'!E3</f>
        <v>44651</v>
      </c>
      <c r="F6" s="129">
        <f>'Historical Data'!F3</f>
        <v>45016</v>
      </c>
      <c r="G6" s="129">
        <f>'Historical Data'!G3</f>
        <v>45382</v>
      </c>
      <c r="H6" s="129">
        <f>'Historical Data'!H3</f>
        <v>45747</v>
      </c>
    </row>
    <row r="8" spans="2:8" x14ac:dyDescent="0.25">
      <c r="B8" s="162" t="s">
        <v>215</v>
      </c>
      <c r="C8" s="162"/>
      <c r="D8" s="162"/>
      <c r="E8" s="162"/>
      <c r="F8" s="162"/>
      <c r="G8" s="162"/>
      <c r="H8" s="162"/>
    </row>
    <row r="9" spans="2:8" x14ac:dyDescent="0.25">
      <c r="B9" s="2" t="s">
        <v>114</v>
      </c>
    </row>
    <row r="10" spans="2:8" x14ac:dyDescent="0.25">
      <c r="B10" s="40" t="s">
        <v>238</v>
      </c>
      <c r="C10" s="40"/>
      <c r="D10" s="153">
        <f>IFERROR('Balance sheet row data'!C35,0)</f>
        <v>428</v>
      </c>
      <c r="E10" s="153">
        <f>IFERROR('Balance sheet row data'!D35,0)</f>
        <v>868</v>
      </c>
      <c r="F10" s="153">
        <f>IFERROR('Balance sheet row data'!E35,0)</f>
        <v>1361</v>
      </c>
      <c r="G10" s="153">
        <f>IFERROR('Balance sheet row data'!F35,0)</f>
        <v>1583</v>
      </c>
      <c r="H10" s="153">
        <f>IFERROR('Balance sheet row data'!G35,0)</f>
        <v>2045</v>
      </c>
    </row>
    <row r="11" spans="2:8" x14ac:dyDescent="0.25">
      <c r="B11" s="40" t="s">
        <v>239</v>
      </c>
      <c r="C11" s="40"/>
      <c r="D11" s="153">
        <f>IFERROR('Balance sheet row data'!C36,0)</f>
        <v>21</v>
      </c>
      <c r="E11" s="153">
        <f>IFERROR('Balance sheet row data'!D36,0)</f>
        <v>18</v>
      </c>
      <c r="F11" s="153">
        <f>IFERROR('Balance sheet row data'!E36,0)</f>
        <v>34</v>
      </c>
      <c r="G11" s="153">
        <f>IFERROR('Balance sheet row data'!F36,0)</f>
        <v>82</v>
      </c>
      <c r="H11" s="153">
        <f>IFERROR('Balance sheet row data'!G36,0)</f>
        <v>63</v>
      </c>
    </row>
    <row r="12" spans="2:8" x14ac:dyDescent="0.25">
      <c r="B12" s="59" t="s">
        <v>242</v>
      </c>
      <c r="C12" s="59"/>
      <c r="D12" s="154">
        <f>IFERROR('Balance sheet row data'!C39,0)</f>
        <v>516</v>
      </c>
      <c r="E12" s="154">
        <f>IFERROR('Balance sheet row data'!D39,0)</f>
        <v>650</v>
      </c>
      <c r="F12" s="154">
        <f>IFERROR('Balance sheet row data'!E39,0)</f>
        <v>832</v>
      </c>
      <c r="G12" s="154">
        <f>IFERROR('Balance sheet row data'!F39,0)</f>
        <v>1075</v>
      </c>
      <c r="H12" s="154">
        <f>IFERROR('Balance sheet row data'!G39,0)</f>
        <v>1400</v>
      </c>
    </row>
    <row r="13" spans="2:8" x14ac:dyDescent="0.25">
      <c r="B13" s="150" t="s">
        <v>244</v>
      </c>
      <c r="C13" s="150"/>
      <c r="D13" s="155">
        <f>SUM(D10:D12)</f>
        <v>965</v>
      </c>
      <c r="E13" s="155">
        <f t="shared" ref="E13:H13" si="0">SUM(E10:E12)</f>
        <v>1536</v>
      </c>
      <c r="F13" s="155">
        <f t="shared" si="0"/>
        <v>2227</v>
      </c>
      <c r="G13" s="155">
        <f t="shared" si="0"/>
        <v>2740</v>
      </c>
      <c r="H13" s="155">
        <f t="shared" si="0"/>
        <v>3508</v>
      </c>
    </row>
    <row r="14" spans="2:8" x14ac:dyDescent="0.25">
      <c r="D14" s="121"/>
      <c r="E14" s="121"/>
      <c r="F14" s="121"/>
      <c r="G14" s="121"/>
      <c r="H14" s="121"/>
    </row>
    <row r="15" spans="2:8" x14ac:dyDescent="0.25">
      <c r="B15" s="2" t="s">
        <v>245</v>
      </c>
      <c r="D15" s="121"/>
      <c r="E15" s="121"/>
      <c r="F15" s="121"/>
      <c r="G15" s="121"/>
      <c r="H15" s="121"/>
    </row>
    <row r="16" spans="2:8" x14ac:dyDescent="0.25">
      <c r="B16" s="40" t="s">
        <v>222</v>
      </c>
      <c r="C16" s="40"/>
      <c r="D16" s="153">
        <f>IFERROR('Balance sheet row data'!C12,0)</f>
        <v>275</v>
      </c>
      <c r="E16" s="153">
        <f>IFERROR('Balance sheet row data'!D12,0)</f>
        <v>378</v>
      </c>
      <c r="F16" s="153">
        <f>IFERROR('Balance sheet row data'!E12,0)</f>
        <v>665</v>
      </c>
      <c r="G16" s="153">
        <f>IFERROR('Balance sheet row data'!F12,0)</f>
        <v>774</v>
      </c>
      <c r="H16" s="153">
        <f>IFERROR('Balance sheet row data'!G12,0)</f>
        <v>928</v>
      </c>
    </row>
    <row r="17" spans="1:8" x14ac:dyDescent="0.25">
      <c r="B17" s="59" t="s">
        <v>223</v>
      </c>
      <c r="C17" s="59"/>
      <c r="D17" s="154">
        <f>IFERROR('Balance sheet row data'!C13,0)</f>
        <v>128</v>
      </c>
      <c r="E17" s="154">
        <f>IFERROR('Balance sheet row data'!D13,0)</f>
        <v>213</v>
      </c>
      <c r="F17" s="154">
        <f>IFERROR('Balance sheet row data'!E13,0)</f>
        <v>289</v>
      </c>
      <c r="G17" s="154">
        <f>IFERROR('Balance sheet row data'!F13,0)</f>
        <v>532</v>
      </c>
      <c r="H17" s="154">
        <f>IFERROR('Balance sheet row data'!G13,0)</f>
        <v>671</v>
      </c>
    </row>
    <row r="18" spans="1:8" x14ac:dyDescent="0.25">
      <c r="B18" s="150" t="s">
        <v>246</v>
      </c>
      <c r="C18" s="150"/>
      <c r="D18" s="155">
        <f>SUM(D16:D17)</f>
        <v>403</v>
      </c>
      <c r="E18" s="155">
        <f t="shared" ref="E18:H18" si="1">SUM(E16:E17)</f>
        <v>591</v>
      </c>
      <c r="F18" s="155">
        <f t="shared" si="1"/>
        <v>954</v>
      </c>
      <c r="G18" s="155">
        <f t="shared" si="1"/>
        <v>1306</v>
      </c>
      <c r="H18" s="155">
        <f t="shared" si="1"/>
        <v>1599</v>
      </c>
    </row>
    <row r="19" spans="1:8" x14ac:dyDescent="0.25">
      <c r="D19" s="121"/>
      <c r="E19" s="121"/>
      <c r="F19" s="121"/>
      <c r="G19" s="121"/>
      <c r="H19" s="121"/>
    </row>
    <row r="20" spans="1:8" ht="15.75" thickBot="1" x14ac:dyDescent="0.3">
      <c r="A20" t="s">
        <v>213</v>
      </c>
      <c r="B20" s="148" t="s">
        <v>247</v>
      </c>
      <c r="C20" s="148"/>
      <c r="D20" s="158">
        <f>D13-D18</f>
        <v>562</v>
      </c>
      <c r="E20" s="158">
        <f t="shared" ref="E20:H20" si="2">E13-E18</f>
        <v>945</v>
      </c>
      <c r="F20" s="158">
        <f t="shared" si="2"/>
        <v>1273</v>
      </c>
      <c r="G20" s="158">
        <f t="shared" si="2"/>
        <v>1434</v>
      </c>
      <c r="H20" s="158">
        <f t="shared" si="2"/>
        <v>1909</v>
      </c>
    </row>
    <row r="21" spans="1:8" x14ac:dyDescent="0.25">
      <c r="D21" s="121"/>
      <c r="E21" s="121"/>
      <c r="F21" s="121"/>
      <c r="G21" s="121"/>
      <c r="H21" s="121"/>
    </row>
    <row r="22" spans="1:8" x14ac:dyDescent="0.25">
      <c r="D22" s="121"/>
      <c r="E22" s="121"/>
      <c r="F22" s="121"/>
      <c r="G22" s="121"/>
      <c r="H22" s="121"/>
    </row>
    <row r="23" spans="1:8" x14ac:dyDescent="0.25">
      <c r="B23" t="s">
        <v>225</v>
      </c>
      <c r="D23" s="121"/>
      <c r="E23" s="121"/>
      <c r="F23" s="121"/>
      <c r="G23" s="121"/>
      <c r="H23" s="121"/>
    </row>
    <row r="24" spans="1:8" x14ac:dyDescent="0.25">
      <c r="B24" s="40" t="s">
        <v>226</v>
      </c>
      <c r="C24" s="40"/>
      <c r="D24" s="153">
        <f>IFERROR('Balance sheet row data'!C17,0)</f>
        <v>63</v>
      </c>
      <c r="E24" s="153">
        <f>IFERROR('Balance sheet row data'!D17,0)</f>
        <v>62</v>
      </c>
      <c r="F24" s="153">
        <f>IFERROR('Balance sheet row data'!E17,0)</f>
        <v>77</v>
      </c>
      <c r="G24" s="153">
        <f>IFERROR('Balance sheet row data'!F17,0)</f>
        <v>86</v>
      </c>
      <c r="H24" s="153">
        <f>IFERROR('Balance sheet row data'!G17,0)</f>
        <v>86</v>
      </c>
    </row>
    <row r="25" spans="1:8" x14ac:dyDescent="0.25">
      <c r="B25" s="40" t="s">
        <v>227</v>
      </c>
      <c r="C25" s="40"/>
      <c r="D25" s="153">
        <f>IFERROR('Balance sheet row data'!C18,0)</f>
        <v>3117</v>
      </c>
      <c r="E25" s="153">
        <f>IFERROR('Balance sheet row data'!D18,0)</f>
        <v>4893</v>
      </c>
      <c r="F25" s="153">
        <f>IFERROR('Balance sheet row data'!E18,0)</f>
        <v>4855</v>
      </c>
      <c r="G25" s="153">
        <f>IFERROR('Balance sheet row data'!F18,0)</f>
        <v>2162</v>
      </c>
      <c r="H25" s="153">
        <f>IFERROR('Balance sheet row data'!G18,0)</f>
        <v>3664</v>
      </c>
    </row>
    <row r="26" spans="1:8" x14ac:dyDescent="0.25">
      <c r="B26" s="40" t="s">
        <v>228</v>
      </c>
      <c r="C26" s="40"/>
      <c r="D26" s="153">
        <f>IFERROR('Balance sheet row data'!C19,0)</f>
        <v>168</v>
      </c>
      <c r="E26" s="153">
        <f>IFERROR('Balance sheet row data'!D19,0)</f>
        <v>221</v>
      </c>
      <c r="F26" s="153">
        <f>IFERROR('Balance sheet row data'!E19,0)</f>
        <v>287</v>
      </c>
      <c r="G26" s="153">
        <f>IFERROR('Balance sheet row data'!F19,0)</f>
        <v>437</v>
      </c>
      <c r="H26" s="153">
        <f>IFERROR('Balance sheet row data'!G19,0)</f>
        <v>825</v>
      </c>
    </row>
    <row r="27" spans="1:8" x14ac:dyDescent="0.25">
      <c r="B27" s="40" t="s">
        <v>229</v>
      </c>
      <c r="C27" s="40"/>
      <c r="D27" s="153">
        <f>IFERROR('Balance sheet row data'!C20,0)</f>
        <v>30</v>
      </c>
      <c r="E27" s="153">
        <f>IFERROR('Balance sheet row data'!D20,0)</f>
        <v>33</v>
      </c>
      <c r="F27" s="153">
        <f>IFERROR('Balance sheet row data'!E20,0)</f>
        <v>39</v>
      </c>
      <c r="G27" s="153">
        <f>IFERROR('Balance sheet row data'!F20,0)</f>
        <v>44</v>
      </c>
      <c r="H27" s="153">
        <f>IFERROR('Balance sheet row data'!G20,0)</f>
        <v>56</v>
      </c>
    </row>
    <row r="28" spans="1:8" x14ac:dyDescent="0.25">
      <c r="B28" s="40" t="s">
        <v>230</v>
      </c>
      <c r="C28" s="40"/>
      <c r="D28" s="153">
        <f>IFERROR('Balance sheet row data'!C21,0)</f>
        <v>59</v>
      </c>
      <c r="E28" s="153">
        <f>IFERROR('Balance sheet row data'!D21,0)</f>
        <v>70</v>
      </c>
      <c r="F28" s="153">
        <f>IFERROR('Balance sheet row data'!E21,0)</f>
        <v>98</v>
      </c>
      <c r="G28" s="153">
        <f>IFERROR('Balance sheet row data'!F21,0)</f>
        <v>112</v>
      </c>
      <c r="H28" s="153">
        <f>IFERROR('Balance sheet row data'!G21,0)</f>
        <v>175</v>
      </c>
    </row>
    <row r="29" spans="1:8" x14ac:dyDescent="0.25">
      <c r="B29" s="40" t="s">
        <v>231</v>
      </c>
      <c r="C29" s="40"/>
      <c r="D29" s="153">
        <f>IFERROR('Balance sheet row data'!C22,0)</f>
        <v>192</v>
      </c>
      <c r="E29" s="153">
        <f>IFERROR('Balance sheet row data'!D22,0)</f>
        <v>225</v>
      </c>
      <c r="F29" s="153">
        <f>IFERROR('Balance sheet row data'!E22,0)</f>
        <v>328</v>
      </c>
      <c r="G29" s="153">
        <f>IFERROR('Balance sheet row data'!F22,0)</f>
        <v>486</v>
      </c>
      <c r="H29" s="153">
        <f>IFERROR('Balance sheet row data'!G22,0)</f>
        <v>758</v>
      </c>
    </row>
    <row r="30" spans="1:8" x14ac:dyDescent="0.25">
      <c r="B30" s="40" t="s">
        <v>232</v>
      </c>
      <c r="C30" s="40"/>
      <c r="D30" s="153">
        <f>IFERROR('Balance sheet row data'!C23,0)</f>
        <v>3</v>
      </c>
      <c r="E30" s="153">
        <f>IFERROR('Balance sheet row data'!D23,0)</f>
        <v>3</v>
      </c>
      <c r="F30" s="153">
        <f>IFERROR('Balance sheet row data'!E23,0)</f>
        <v>3</v>
      </c>
      <c r="G30" s="153">
        <f>IFERROR('Balance sheet row data'!F23,0)</f>
        <v>3</v>
      </c>
      <c r="H30" s="153">
        <f>IFERROR('Balance sheet row data'!G23,0)</f>
        <v>4</v>
      </c>
    </row>
    <row r="31" spans="1:8" x14ac:dyDescent="0.25">
      <c r="B31" s="40" t="s">
        <v>233</v>
      </c>
      <c r="C31" s="40"/>
      <c r="D31" s="153">
        <f>IFERROR('Balance sheet row data'!C24,0)</f>
        <v>62</v>
      </c>
      <c r="E31" s="153">
        <f>IFERROR('Balance sheet row data'!D24,0)</f>
        <v>62</v>
      </c>
      <c r="F31" s="153">
        <f>IFERROR('Balance sheet row data'!E24,0)</f>
        <v>62</v>
      </c>
      <c r="G31" s="153">
        <f>IFERROR('Balance sheet row data'!F24,0)</f>
        <v>62</v>
      </c>
      <c r="H31" s="153">
        <f>IFERROR('Balance sheet row data'!G24,0)</f>
        <v>62</v>
      </c>
    </row>
    <row r="32" spans="1:8" x14ac:dyDescent="0.25">
      <c r="B32" s="59" t="s">
        <v>234</v>
      </c>
      <c r="C32" s="59"/>
      <c r="D32" s="154">
        <f>IFERROR('Balance sheet row data'!C25,0)</f>
        <v>70</v>
      </c>
      <c r="E32" s="154">
        <f>IFERROR('Balance sheet row data'!D25,0)</f>
        <v>78</v>
      </c>
      <c r="F32" s="154">
        <f>IFERROR('Balance sheet row data'!E25,0)</f>
        <v>92</v>
      </c>
      <c r="G32" s="154">
        <f>IFERROR('Balance sheet row data'!F25,0)</f>
        <v>92</v>
      </c>
      <c r="H32" s="154">
        <f>IFERROR('Balance sheet row data'!G25,0)</f>
        <v>98</v>
      </c>
    </row>
    <row r="33" spans="1:8" x14ac:dyDescent="0.25">
      <c r="B33" s="151" t="s">
        <v>235</v>
      </c>
      <c r="C33" s="66"/>
      <c r="D33" s="156">
        <f>SUM(D24:D32)</f>
        <v>3764</v>
      </c>
      <c r="E33" s="156">
        <f t="shared" ref="E33:H33" si="3">SUM(E24:E32)</f>
        <v>5647</v>
      </c>
      <c r="F33" s="156">
        <f t="shared" si="3"/>
        <v>5841</v>
      </c>
      <c r="G33" s="156">
        <f t="shared" si="3"/>
        <v>3484</v>
      </c>
      <c r="H33" s="156">
        <f t="shared" si="3"/>
        <v>5728</v>
      </c>
    </row>
    <row r="34" spans="1:8" x14ac:dyDescent="0.25">
      <c r="B34" s="152" t="s">
        <v>236</v>
      </c>
      <c r="C34" s="68"/>
      <c r="D34" s="157">
        <f>IFERROR('Balance sheet row data'!C27,0)</f>
        <v>711</v>
      </c>
      <c r="E34" s="157">
        <f>IFERROR('Balance sheet row data'!D27,0)</f>
        <v>961</v>
      </c>
      <c r="F34" s="157">
        <f>IFERROR('Balance sheet row data'!E27,0)</f>
        <v>1314</v>
      </c>
      <c r="G34" s="157">
        <f>IFERROR('Balance sheet row data'!F27,0)</f>
        <v>1035</v>
      </c>
      <c r="H34" s="157">
        <f>IFERROR('Balance sheet row data'!G27,0)</f>
        <v>1835</v>
      </c>
    </row>
    <row r="35" spans="1:8" x14ac:dyDescent="0.25">
      <c r="D35" s="121"/>
      <c r="E35" s="121"/>
      <c r="F35" s="121"/>
      <c r="G35" s="121"/>
      <c r="H35" s="121"/>
    </row>
    <row r="36" spans="1:8" ht="15.75" thickBot="1" x14ac:dyDescent="0.3">
      <c r="B36" s="148" t="s">
        <v>113</v>
      </c>
      <c r="C36" s="148"/>
      <c r="D36" s="158">
        <f>D33-D34</f>
        <v>3053</v>
      </c>
      <c r="E36" s="158">
        <f t="shared" ref="E36:H36" si="4">E33-E34</f>
        <v>4686</v>
      </c>
      <c r="F36" s="158">
        <f t="shared" si="4"/>
        <v>4527</v>
      </c>
      <c r="G36" s="158">
        <f t="shared" si="4"/>
        <v>2449</v>
      </c>
      <c r="H36" s="158">
        <f t="shared" si="4"/>
        <v>3893</v>
      </c>
    </row>
    <row r="37" spans="1:8" x14ac:dyDescent="0.25">
      <c r="D37" s="121"/>
      <c r="E37" s="121"/>
      <c r="F37" s="121"/>
      <c r="G37" s="121"/>
      <c r="H37" s="121"/>
    </row>
    <row r="38" spans="1:8" ht="15.75" thickBot="1" x14ac:dyDescent="0.3">
      <c r="A38" t="s">
        <v>213</v>
      </c>
      <c r="B38" s="160" t="s">
        <v>248</v>
      </c>
      <c r="C38" s="159"/>
      <c r="D38" s="159">
        <f>D20+D36</f>
        <v>3615</v>
      </c>
      <c r="E38" s="159">
        <f t="shared" ref="E38:H38" si="5">E20+E36</f>
        <v>5631</v>
      </c>
      <c r="F38" s="159">
        <f t="shared" si="5"/>
        <v>5800</v>
      </c>
      <c r="G38" s="159">
        <f t="shared" si="5"/>
        <v>3883</v>
      </c>
      <c r="H38" s="159">
        <f t="shared" si="5"/>
        <v>5802</v>
      </c>
    </row>
    <row r="39" spans="1:8" ht="15.75" thickTop="1" x14ac:dyDescent="0.25"/>
    <row r="40" spans="1:8" x14ac:dyDescent="0.25">
      <c r="B40" s="66" t="s">
        <v>108</v>
      </c>
      <c r="C40" s="66"/>
      <c r="D40" s="156">
        <f>IFERROR('Historical Data'!D19,0)</f>
        <v>-143.43</v>
      </c>
      <c r="E40" s="156">
        <f>IFERROR('Historical Data'!E19,0)</f>
        <v>283.90000000000072</v>
      </c>
      <c r="F40" s="156">
        <f>IFERROR('Historical Data'!F19,0)</f>
        <v>620.4600000000014</v>
      </c>
      <c r="G40" s="156">
        <f>IFERROR('Historical Data'!G19,0)</f>
        <v>1299.5800000000004</v>
      </c>
      <c r="H40" s="156">
        <f>IFERROR('Historical Data'!H19,0)</f>
        <v>1924.7799999999997</v>
      </c>
    </row>
    <row r="41" spans="1:8" x14ac:dyDescent="0.25">
      <c r="B41" s="131" t="s">
        <v>124</v>
      </c>
      <c r="C41" s="131"/>
      <c r="D41" s="161">
        <v>0.25</v>
      </c>
      <c r="E41" s="161">
        <v>0.25</v>
      </c>
      <c r="F41" s="161">
        <v>0.25</v>
      </c>
      <c r="G41" s="161">
        <v>0.25</v>
      </c>
      <c r="H41" s="161">
        <v>0.25</v>
      </c>
    </row>
    <row r="42" spans="1:8" x14ac:dyDescent="0.25">
      <c r="B42" s="118" t="s">
        <v>249</v>
      </c>
      <c r="C42" s="118"/>
      <c r="D42" s="170">
        <f>D40*(1-D41)</f>
        <v>-107.57250000000001</v>
      </c>
      <c r="E42" s="170">
        <f t="shared" ref="E42:H42" si="6">E40*(1-E41)</f>
        <v>212.92500000000052</v>
      </c>
      <c r="F42" s="170">
        <f t="shared" si="6"/>
        <v>465.34500000000105</v>
      </c>
      <c r="G42" s="170">
        <f t="shared" si="6"/>
        <v>974.68500000000029</v>
      </c>
      <c r="H42" s="170">
        <f t="shared" si="6"/>
        <v>1443.5849999999998</v>
      </c>
    </row>
    <row r="43" spans="1:8" ht="15.75" thickBot="1" x14ac:dyDescent="0.3"/>
    <row r="44" spans="1:8" ht="15.75" thickBot="1" x14ac:dyDescent="0.3">
      <c r="A44" t="s">
        <v>213</v>
      </c>
      <c r="B44" s="168" t="s">
        <v>256</v>
      </c>
      <c r="C44" s="168"/>
      <c r="D44" s="169">
        <f>D42/D38</f>
        <v>-2.9757261410788383E-2</v>
      </c>
      <c r="E44" s="169">
        <f t="shared" ref="E44:H44" si="7">E42/E38</f>
        <v>3.7812999467235042E-2</v>
      </c>
      <c r="F44" s="169">
        <f t="shared" si="7"/>
        <v>8.0231896551724316E-2</v>
      </c>
      <c r="G44" s="169">
        <f t="shared" si="7"/>
        <v>0.25101339170744275</v>
      </c>
      <c r="H44" s="169">
        <f t="shared" si="7"/>
        <v>0.24880816959669078</v>
      </c>
    </row>
    <row r="45" spans="1:8" ht="15.75" thickTop="1" x14ac:dyDescent="0.25"/>
    <row r="48" spans="1:8" x14ac:dyDescent="0.25">
      <c r="B48" s="162" t="s">
        <v>250</v>
      </c>
      <c r="C48" s="162"/>
      <c r="D48" s="162"/>
      <c r="E48" s="162"/>
      <c r="F48" s="162"/>
      <c r="G48" s="162"/>
      <c r="H48" s="162"/>
    </row>
    <row r="50" spans="2:10" x14ac:dyDescent="0.25">
      <c r="B50" s="2" t="s">
        <v>251</v>
      </c>
    </row>
    <row r="51" spans="2:10" x14ac:dyDescent="0.25">
      <c r="B51" s="66" t="s">
        <v>185</v>
      </c>
      <c r="C51" s="66"/>
      <c r="D51" s="156">
        <f>IFERROR('Historical Data'!D68,0)</f>
        <v>-113</v>
      </c>
      <c r="E51" s="156">
        <f>IFERROR('Historical Data'!E68,0)</f>
        <v>-271</v>
      </c>
      <c r="F51" s="156">
        <f>IFERROR('Historical Data'!F68,0)</f>
        <v>-503</v>
      </c>
      <c r="G51" s="156">
        <f>IFERROR('Historical Data'!G68,0)</f>
        <v>-737</v>
      </c>
      <c r="H51" s="156">
        <f>IFERROR('Historical Data'!H68,0)</f>
        <v>-1268</v>
      </c>
    </row>
    <row r="52" spans="2:10" x14ac:dyDescent="0.25">
      <c r="B52" s="131" t="s">
        <v>186</v>
      </c>
      <c r="C52" s="131"/>
      <c r="D52" s="163">
        <f>IFERROR('Historical Data'!D69,0)</f>
        <v>22</v>
      </c>
      <c r="E52" s="163">
        <f>IFERROR('Historical Data'!E69,0)</f>
        <v>61</v>
      </c>
      <c r="F52" s="163">
        <f>IFERROR('Historical Data'!F69,0)</f>
        <v>280</v>
      </c>
      <c r="G52" s="163">
        <f>IFERROR('Historical Data'!G69,0)</f>
        <v>343</v>
      </c>
      <c r="H52" s="163">
        <f>IFERROR('Historical Data'!H69,0)</f>
        <v>407</v>
      </c>
    </row>
    <row r="53" spans="2:10" x14ac:dyDescent="0.25">
      <c r="B53" s="83" t="s">
        <v>252</v>
      </c>
      <c r="C53" s="59"/>
      <c r="D53" s="154">
        <f>SUM(D51:D52)</f>
        <v>-91</v>
      </c>
      <c r="E53" s="154">
        <f t="shared" ref="E53:H53" si="8">SUM(E51:E52)</f>
        <v>-210</v>
      </c>
      <c r="F53" s="154">
        <f t="shared" si="8"/>
        <v>-223</v>
      </c>
      <c r="G53" s="154">
        <f t="shared" si="8"/>
        <v>-394</v>
      </c>
      <c r="H53" s="154">
        <f t="shared" si="8"/>
        <v>-861</v>
      </c>
    </row>
    <row r="54" spans="2:10" x14ac:dyDescent="0.25">
      <c r="B54" s="68" t="s">
        <v>253</v>
      </c>
      <c r="C54" s="68"/>
      <c r="D54" s="68"/>
      <c r="E54" s="164">
        <f>E20-D20</f>
        <v>383</v>
      </c>
      <c r="F54" s="164">
        <f t="shared" ref="F54:H54" si="9">F20-E20</f>
        <v>328</v>
      </c>
      <c r="G54" s="164">
        <f t="shared" si="9"/>
        <v>161</v>
      </c>
      <c r="H54" s="164">
        <f t="shared" si="9"/>
        <v>475</v>
      </c>
    </row>
    <row r="55" spans="2:10" x14ac:dyDescent="0.25">
      <c r="B55" s="131"/>
      <c r="C55" s="131"/>
      <c r="D55" s="131"/>
      <c r="E55" s="165"/>
      <c r="F55" s="165"/>
      <c r="G55" s="165"/>
      <c r="H55" s="165"/>
    </row>
    <row r="56" spans="2:10" x14ac:dyDescent="0.25">
      <c r="B56" s="66" t="s">
        <v>108</v>
      </c>
      <c r="C56" s="66"/>
      <c r="D56" s="156">
        <f>D40</f>
        <v>-143.43</v>
      </c>
      <c r="E56" s="156">
        <f t="shared" ref="E56:H56" si="10">E40</f>
        <v>283.90000000000072</v>
      </c>
      <c r="F56" s="156">
        <f t="shared" si="10"/>
        <v>620.4600000000014</v>
      </c>
      <c r="G56" s="156">
        <f t="shared" si="10"/>
        <v>1299.5800000000004</v>
      </c>
      <c r="H56" s="156">
        <f t="shared" si="10"/>
        <v>1924.7799999999997</v>
      </c>
    </row>
    <row r="57" spans="2:10" x14ac:dyDescent="0.25">
      <c r="B57" s="88" t="s">
        <v>124</v>
      </c>
      <c r="C57" s="88"/>
      <c r="D57" s="175">
        <f>D41</f>
        <v>0.25</v>
      </c>
      <c r="E57" s="175">
        <f t="shared" ref="D57:H58" si="11">E41</f>
        <v>0.25</v>
      </c>
      <c r="F57" s="175">
        <f t="shared" si="11"/>
        <v>0.25</v>
      </c>
      <c r="G57" s="175">
        <f t="shared" si="11"/>
        <v>0.25</v>
      </c>
      <c r="H57" s="175">
        <f t="shared" si="11"/>
        <v>0.25</v>
      </c>
    </row>
    <row r="58" spans="2:10" x14ac:dyDescent="0.25">
      <c r="B58" s="118" t="s">
        <v>249</v>
      </c>
      <c r="C58" s="118"/>
      <c r="D58" s="170">
        <f t="shared" si="11"/>
        <v>-107.57250000000001</v>
      </c>
      <c r="E58" s="170">
        <f t="shared" si="11"/>
        <v>212.92500000000052</v>
      </c>
      <c r="F58" s="170">
        <f t="shared" si="11"/>
        <v>465.34500000000105</v>
      </c>
      <c r="G58" s="170">
        <f t="shared" si="11"/>
        <v>974.68500000000029</v>
      </c>
      <c r="H58" s="170">
        <f t="shared" si="11"/>
        <v>1443.5849999999998</v>
      </c>
    </row>
    <row r="59" spans="2:10" x14ac:dyDescent="0.25">
      <c r="B59" s="131"/>
      <c r="C59" s="131"/>
      <c r="D59" s="131"/>
      <c r="E59" s="165"/>
      <c r="F59" s="165"/>
      <c r="G59" s="165"/>
      <c r="H59" s="165"/>
    </row>
    <row r="60" spans="2:10" ht="15.75" thickBot="1" x14ac:dyDescent="0.3">
      <c r="B60" s="166" t="s">
        <v>254</v>
      </c>
      <c r="C60" s="149"/>
      <c r="D60" s="158">
        <f>SUM(D53:D54)</f>
        <v>-91</v>
      </c>
      <c r="E60" s="158">
        <f>SUM(E53:E54)</f>
        <v>173</v>
      </c>
      <c r="F60" s="158">
        <f t="shared" ref="F60:H60" si="12">SUM(F53:F54)</f>
        <v>105</v>
      </c>
      <c r="G60" s="158">
        <f t="shared" si="12"/>
        <v>-233</v>
      </c>
      <c r="H60" s="158">
        <f t="shared" si="12"/>
        <v>-386</v>
      </c>
    </row>
    <row r="61" spans="2:10" ht="15.75" thickBot="1" x14ac:dyDescent="0.3"/>
    <row r="62" spans="2:10" ht="15.75" thickBot="1" x14ac:dyDescent="0.3">
      <c r="B62" s="126" t="s">
        <v>255</v>
      </c>
      <c r="C62" s="126"/>
      <c r="D62" s="169">
        <f>D60/D58</f>
        <v>0.84594110948430123</v>
      </c>
      <c r="E62" s="169">
        <f t="shared" ref="E62:H62" si="13">E60/E58</f>
        <v>0.81249266173535084</v>
      </c>
      <c r="F62" s="169">
        <f t="shared" si="13"/>
        <v>0.22563904200109544</v>
      </c>
      <c r="G62" s="169">
        <f t="shared" si="13"/>
        <v>-0.23905159102684451</v>
      </c>
      <c r="H62" s="169">
        <f t="shared" si="13"/>
        <v>-0.26738986620115895</v>
      </c>
      <c r="J62" s="30"/>
    </row>
    <row r="63" spans="2:10" ht="15.75" thickTop="1" x14ac:dyDescent="0.25"/>
    <row r="64" spans="2:10" x14ac:dyDescent="0.25">
      <c r="F64" s="172" t="s">
        <v>257</v>
      </c>
      <c r="G64" s="53"/>
      <c r="H64" s="171">
        <f>AVERAGE(E62:H62)</f>
        <v>0.13292256162711075</v>
      </c>
    </row>
    <row r="65" spans="2:10" x14ac:dyDescent="0.25">
      <c r="F65" s="172" t="s">
        <v>258</v>
      </c>
      <c r="G65" s="53"/>
      <c r="H65" s="171">
        <f>MEDIAN(E62:H62)</f>
        <v>-6.7062745128745327E-3</v>
      </c>
    </row>
    <row r="67" spans="2:10" x14ac:dyDescent="0.25">
      <c r="B67" s="162" t="s">
        <v>259</v>
      </c>
      <c r="C67" s="162"/>
      <c r="D67" s="162"/>
      <c r="E67" s="162"/>
      <c r="F67" s="162"/>
      <c r="G67" s="162"/>
      <c r="H67" s="162"/>
    </row>
    <row r="69" spans="2:10" x14ac:dyDescent="0.25">
      <c r="B69" s="34" t="str">
        <f>B44</f>
        <v>ROIC Rate</v>
      </c>
      <c r="C69" s="40"/>
      <c r="D69" s="54">
        <f>D44</f>
        <v>-2.9757261410788383E-2</v>
      </c>
      <c r="E69" s="54">
        <f t="shared" ref="E69:H69" si="14">E44</f>
        <v>3.7812999467235042E-2</v>
      </c>
      <c r="F69" s="54">
        <f t="shared" si="14"/>
        <v>8.0231896551724316E-2</v>
      </c>
      <c r="G69" s="54">
        <f t="shared" si="14"/>
        <v>0.25101339170744275</v>
      </c>
      <c r="H69" s="54">
        <f t="shared" si="14"/>
        <v>0.24880816959669078</v>
      </c>
    </row>
    <row r="70" spans="2:10" x14ac:dyDescent="0.25">
      <c r="B70" s="34" t="str">
        <f>B62</f>
        <v>Rinvested Rate</v>
      </c>
      <c r="C70" s="40"/>
      <c r="D70" s="173">
        <f t="array" ref="D70:H70">D62</f>
        <v>0.84594110948430123</v>
      </c>
      <c r="E70" s="173">
        <v>0.84594110948430123</v>
      </c>
      <c r="F70" s="173">
        <v>0.84594110948430123</v>
      </c>
      <c r="G70" s="173">
        <v>0.84594110948430123</v>
      </c>
      <c r="H70" s="173">
        <v>0.84594110948430123</v>
      </c>
    </row>
    <row r="71" spans="2:10" ht="15.75" thickBot="1" x14ac:dyDescent="0.3"/>
    <row r="72" spans="2:10" ht="15.75" thickBot="1" x14ac:dyDescent="0.3">
      <c r="B72" s="126" t="s">
        <v>268</v>
      </c>
      <c r="C72" s="125"/>
      <c r="D72" s="169">
        <f>D69*D70</f>
        <v>-2.5172890733056709E-2</v>
      </c>
      <c r="E72" s="169">
        <f t="shared" ref="E72:H72" si="15">E69*E70</f>
        <v>3.1987570722242106E-2</v>
      </c>
      <c r="F72" s="169">
        <f t="shared" si="15"/>
        <v>6.7871459584995353E-2</v>
      </c>
      <c r="G72" s="169">
        <f t="shared" si="15"/>
        <v>0.21234254707641162</v>
      </c>
      <c r="H72" s="169">
        <f t="shared" si="15"/>
        <v>0.21047705903738279</v>
      </c>
    </row>
    <row r="73" spans="2:10" ht="15.75" thickTop="1" x14ac:dyDescent="0.25">
      <c r="D73" s="60"/>
      <c r="E73" s="60"/>
      <c r="F73" s="60"/>
      <c r="G73" s="60"/>
      <c r="H73" s="60"/>
    </row>
    <row r="74" spans="2:10" x14ac:dyDescent="0.25">
      <c r="F74" s="172" t="s">
        <v>257</v>
      </c>
      <c r="G74" s="53"/>
      <c r="H74" s="171">
        <f>AVERAGE(E72:H72)</f>
        <v>0.13066965910525796</v>
      </c>
    </row>
    <row r="75" spans="2:10" x14ac:dyDescent="0.25">
      <c r="F75" s="172" t="s">
        <v>258</v>
      </c>
      <c r="G75" s="53"/>
      <c r="H75" s="171">
        <f>MEDIAN(E72:H72)</f>
        <v>0.13917425931118907</v>
      </c>
    </row>
    <row r="79" spans="2:10" x14ac:dyDescent="0.25">
      <c r="I79" s="176"/>
      <c r="J79" s="60"/>
    </row>
  </sheetData>
  <mergeCells count="4">
    <mergeCell ref="B8:H8"/>
    <mergeCell ref="B3:H4"/>
    <mergeCell ref="B48:H48"/>
    <mergeCell ref="B67:H6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91C9-FC1E-4E16-A00B-78E66D92E2C7}">
  <dimension ref="B1:I44"/>
  <sheetViews>
    <sheetView showGridLines="0" tabSelected="1" topLeftCell="A23" workbookViewId="0">
      <selection activeCell="J41" activeCellId="1" sqref="G28 A1:XFD1048576"/>
    </sheetView>
  </sheetViews>
  <sheetFormatPr defaultRowHeight="15" outlineLevelRow="1" x14ac:dyDescent="0.25"/>
  <cols>
    <col min="1" max="1" width="1.85546875" customWidth="1"/>
    <col min="2" max="2" width="24.28515625" bestFit="1" customWidth="1"/>
    <col min="3" max="3" width="10" bestFit="1" customWidth="1"/>
    <col min="4" max="8" width="10.140625" customWidth="1"/>
  </cols>
  <sheetData>
    <row r="1" spans="2:8" x14ac:dyDescent="0.25">
      <c r="B1" s="203" t="s">
        <v>287</v>
      </c>
      <c r="C1" s="203"/>
      <c r="D1" s="203"/>
      <c r="E1" s="203"/>
      <c r="F1" s="203"/>
      <c r="G1" s="203"/>
      <c r="H1" s="203"/>
    </row>
    <row r="2" spans="2:8" x14ac:dyDescent="0.25">
      <c r="B2" s="203"/>
      <c r="C2" s="203"/>
      <c r="D2" s="203"/>
      <c r="E2" s="203"/>
      <c r="F2" s="203"/>
      <c r="G2" s="203"/>
      <c r="H2" s="203"/>
    </row>
    <row r="3" spans="2:8" x14ac:dyDescent="0.25">
      <c r="B3" s="204" t="s">
        <v>261</v>
      </c>
      <c r="C3" s="204"/>
      <c r="D3" s="204"/>
      <c r="E3" s="204"/>
      <c r="F3" s="204"/>
      <c r="G3" s="204"/>
      <c r="H3" s="204"/>
    </row>
    <row r="5" spans="2:8" x14ac:dyDescent="0.25">
      <c r="B5" s="206" t="s">
        <v>214</v>
      </c>
      <c r="C5" s="207"/>
      <c r="D5" s="208">
        <f>'Intresic Growth'!D6</f>
        <v>44286</v>
      </c>
      <c r="E5" s="208">
        <f>'Intresic Growth'!E6</f>
        <v>44651</v>
      </c>
      <c r="F5" s="208">
        <f>'Intresic Growth'!F6</f>
        <v>45016</v>
      </c>
      <c r="G5" s="208">
        <f>'Intresic Growth'!G6</f>
        <v>45382</v>
      </c>
      <c r="H5" s="208">
        <f>'Intresic Growth'!H6</f>
        <v>45747</v>
      </c>
    </row>
    <row r="7" spans="2:8" x14ac:dyDescent="0.25">
      <c r="B7" s="34" t="s">
        <v>262</v>
      </c>
      <c r="C7" s="40"/>
      <c r="D7" s="193">
        <f>IFERROR('Historical Data'!D19,0)</f>
        <v>-143.43</v>
      </c>
      <c r="E7" s="40">
        <f>IFERROR('Historical Data'!E19,0)</f>
        <v>283.90000000000072</v>
      </c>
      <c r="F7" s="40">
        <f>IFERROR('Historical Data'!F19,0)</f>
        <v>620.4600000000014</v>
      </c>
      <c r="G7" s="40">
        <f>IFERROR('Historical Data'!G19,0)</f>
        <v>1299.5800000000004</v>
      </c>
      <c r="H7" s="40">
        <f>IFERROR('Historical Data'!H19,0)</f>
        <v>1924.7799999999997</v>
      </c>
    </row>
    <row r="8" spans="2:8" x14ac:dyDescent="0.25">
      <c r="B8" s="40" t="s">
        <v>124</v>
      </c>
      <c r="C8" s="40"/>
      <c r="D8" s="194">
        <v>0.25</v>
      </c>
      <c r="E8" s="187">
        <v>0.25</v>
      </c>
      <c r="F8" s="187">
        <v>0.25</v>
      </c>
      <c r="G8" s="187">
        <v>0.25</v>
      </c>
      <c r="H8" s="187">
        <v>0.25</v>
      </c>
    </row>
    <row r="9" spans="2:8" x14ac:dyDescent="0.25">
      <c r="B9" s="40" t="s">
        <v>263</v>
      </c>
      <c r="C9" s="40"/>
      <c r="D9" s="195">
        <f>D7*(1-D8)</f>
        <v>-107.57250000000001</v>
      </c>
      <c r="E9" s="188">
        <f t="shared" ref="E9:H9" si="0">E7*(1-E8)</f>
        <v>212.92500000000052</v>
      </c>
      <c r="F9" s="188">
        <f t="shared" si="0"/>
        <v>465.34500000000105</v>
      </c>
      <c r="G9" s="188">
        <f t="shared" si="0"/>
        <v>974.68500000000029</v>
      </c>
      <c r="H9" s="188">
        <f t="shared" si="0"/>
        <v>1443.5849999999998</v>
      </c>
    </row>
    <row r="10" spans="2:8" x14ac:dyDescent="0.25">
      <c r="B10" s="40" t="s">
        <v>271</v>
      </c>
      <c r="C10" s="40"/>
      <c r="D10" s="196">
        <f>IFERROR('Intresic Growth'!D60,0)</f>
        <v>-91</v>
      </c>
      <c r="E10" s="189">
        <f>IFERROR('Intresic Growth'!E60,0)</f>
        <v>173</v>
      </c>
      <c r="F10" s="189">
        <f>IFERROR('Intresic Growth'!F60,0)</f>
        <v>105</v>
      </c>
      <c r="G10" s="189">
        <f>IFERROR('Intresic Growth'!G60,0)</f>
        <v>-233</v>
      </c>
      <c r="H10" s="189">
        <f>IFERROR('Intresic Growth'!H60,0)</f>
        <v>-386</v>
      </c>
    </row>
    <row r="11" spans="2:8" x14ac:dyDescent="0.25">
      <c r="B11" s="40" t="s">
        <v>264</v>
      </c>
      <c r="C11" s="40"/>
      <c r="D11" s="197">
        <f>D9-D10</f>
        <v>-16.572500000000005</v>
      </c>
      <c r="E11" s="190">
        <f>E9-E10</f>
        <v>39.925000000000523</v>
      </c>
      <c r="F11" s="190">
        <f>F9-F10</f>
        <v>360.34500000000105</v>
      </c>
      <c r="G11" s="190">
        <f>G9-G10</f>
        <v>1207.6850000000004</v>
      </c>
      <c r="H11" s="190">
        <f>H9-H10</f>
        <v>1829.5849999999998</v>
      </c>
    </row>
    <row r="12" spans="2:8" x14ac:dyDescent="0.25">
      <c r="B12" s="40" t="s">
        <v>265</v>
      </c>
      <c r="C12" s="40"/>
      <c r="D12" s="193"/>
      <c r="E12" s="191">
        <v>0.5</v>
      </c>
      <c r="F12" s="191">
        <f>E12+1</f>
        <v>1.5</v>
      </c>
      <c r="G12" s="191">
        <f t="shared" ref="G12:H12" si="1">F12+1</f>
        <v>2.5</v>
      </c>
      <c r="H12" s="191">
        <f t="shared" si="1"/>
        <v>3.5</v>
      </c>
    </row>
    <row r="13" spans="2:8" x14ac:dyDescent="0.25">
      <c r="B13" s="118" t="s">
        <v>266</v>
      </c>
      <c r="C13" s="118"/>
      <c r="D13" s="198"/>
      <c r="E13" s="192">
        <f>1/(1+$C$19)^E12</f>
        <v>0.93383839653645784</v>
      </c>
      <c r="F13" s="192">
        <f t="shared" ref="F13:H13" si="2">1/(1+$C$19)^F12</f>
        <v>0.81435764991878834</v>
      </c>
      <c r="G13" s="192">
        <f t="shared" si="2"/>
        <v>0.71016396888469635</v>
      </c>
      <c r="H13" s="192">
        <f t="shared" si="2"/>
        <v>0.61930143684701489</v>
      </c>
    </row>
    <row r="14" spans="2:8" ht="15.75" thickBot="1" x14ac:dyDescent="0.3">
      <c r="B14" s="37" t="s">
        <v>267</v>
      </c>
      <c r="C14" s="37"/>
      <c r="D14" s="199"/>
      <c r="E14" s="43">
        <f>E11*E13</f>
        <v>37.283497981718568</v>
      </c>
      <c r="F14" s="43">
        <f t="shared" ref="F14:H14" si="3">F11*F13</f>
        <v>293.44970735998663</v>
      </c>
      <c r="G14" s="43">
        <f t="shared" si="3"/>
        <v>857.65437276251475</v>
      </c>
      <c r="H14" s="43">
        <f t="shared" si="3"/>
        <v>1133.0646193337457</v>
      </c>
    </row>
    <row r="15" spans="2:8" ht="15.75" thickTop="1" x14ac:dyDescent="0.25"/>
    <row r="17" spans="2:4" outlineLevel="1" x14ac:dyDescent="0.25">
      <c r="B17" s="183" t="s">
        <v>269</v>
      </c>
      <c r="C17" s="61">
        <f>IFERROR('Intresic Growth'!H75,0)</f>
        <v>0.13917425931118907</v>
      </c>
    </row>
    <row r="18" spans="2:4" outlineLevel="1" x14ac:dyDescent="0.25">
      <c r="B18" s="184" t="s">
        <v>270</v>
      </c>
      <c r="C18" s="161">
        <v>0.05</v>
      </c>
    </row>
    <row r="19" spans="2:4" outlineLevel="1" x14ac:dyDescent="0.25">
      <c r="B19" s="185" t="s">
        <v>170</v>
      </c>
      <c r="C19" s="186">
        <f>IFERROR(WACC!J45,0)</f>
        <v>0.14671778011735365</v>
      </c>
    </row>
    <row r="22" spans="2:4" x14ac:dyDescent="0.25">
      <c r="B22" s="205" t="s">
        <v>272</v>
      </c>
      <c r="C22" s="205"/>
      <c r="D22" s="205"/>
    </row>
    <row r="24" spans="2:4" x14ac:dyDescent="0.25">
      <c r="B24" s="40" t="s">
        <v>273</v>
      </c>
      <c r="C24" s="40"/>
      <c r="D24" s="190">
        <f>H11*(1+C18)</f>
        <v>1921.0642499999999</v>
      </c>
    </row>
    <row r="25" spans="2:4" x14ac:dyDescent="0.25">
      <c r="B25" s="40" t="s">
        <v>170</v>
      </c>
      <c r="C25" s="40"/>
      <c r="D25" s="54">
        <f>C19</f>
        <v>0.14671778011735365</v>
      </c>
    </row>
    <row r="26" spans="2:4" x14ac:dyDescent="0.25">
      <c r="B26" s="118" t="s">
        <v>121</v>
      </c>
      <c r="C26" s="118"/>
      <c r="D26" s="200">
        <f>C18</f>
        <v>0.05</v>
      </c>
    </row>
    <row r="27" spans="2:4" ht="15.75" thickBot="1" x14ac:dyDescent="0.3">
      <c r="B27" s="177" t="s">
        <v>274</v>
      </c>
      <c r="C27" s="149"/>
      <c r="D27" s="178">
        <f>D24/(D25-D26)</f>
        <v>19862.575915917987</v>
      </c>
    </row>
    <row r="30" spans="2:4" x14ac:dyDescent="0.25">
      <c r="B30" s="205" t="s">
        <v>275</v>
      </c>
      <c r="C30" s="205"/>
      <c r="D30" s="205"/>
    </row>
    <row r="32" spans="2:4" x14ac:dyDescent="0.25">
      <c r="B32" s="40" t="s">
        <v>276</v>
      </c>
      <c r="C32" s="40"/>
      <c r="D32" s="190">
        <f>SUM(E14:H14)</f>
        <v>2321.4521974379659</v>
      </c>
    </row>
    <row r="33" spans="2:9" x14ac:dyDescent="0.25">
      <c r="B33" s="118" t="s">
        <v>277</v>
      </c>
      <c r="C33" s="118"/>
      <c r="D33" s="201">
        <f>D27*H13</f>
        <v>12300.921804210922</v>
      </c>
    </row>
    <row r="34" spans="2:9" ht="15.75" thickBot="1" x14ac:dyDescent="0.3">
      <c r="B34" s="177" t="s">
        <v>278</v>
      </c>
      <c r="C34" s="148"/>
      <c r="D34" s="178">
        <f>SUM(D32:D33)</f>
        <v>14622.374001648888</v>
      </c>
    </row>
    <row r="36" spans="2:9" x14ac:dyDescent="0.25">
      <c r="B36" s="40" t="s">
        <v>279</v>
      </c>
      <c r="C36" s="40"/>
      <c r="D36" s="40">
        <f>IFERROR('Balance sheet row data'!G37,0)</f>
        <v>340</v>
      </c>
    </row>
    <row r="37" spans="2:9" x14ac:dyDescent="0.25">
      <c r="B37" s="118" t="s">
        <v>280</v>
      </c>
      <c r="C37" s="118"/>
      <c r="D37" s="118">
        <f>IFERROR(SUM('Balance sheet row data'!G8:G9),0)</f>
        <v>499</v>
      </c>
    </row>
    <row r="38" spans="2:9" ht="15.75" thickBot="1" x14ac:dyDescent="0.3">
      <c r="B38" s="177" t="s">
        <v>281</v>
      </c>
      <c r="C38" s="148"/>
      <c r="D38" s="178">
        <f>D34+D36-D37</f>
        <v>14463.374001648888</v>
      </c>
    </row>
    <row r="39" spans="2:9" x14ac:dyDescent="0.25">
      <c r="B39" t="s">
        <v>282</v>
      </c>
      <c r="D39" s="167">
        <f>IFERROR('Data Sheet'!B6,0)</f>
        <v>35.54874688758057</v>
      </c>
    </row>
    <row r="41" spans="2:9" ht="15.75" thickBot="1" x14ac:dyDescent="0.3">
      <c r="B41" s="37" t="s">
        <v>283</v>
      </c>
      <c r="C41" s="179"/>
      <c r="D41" s="180">
        <f>D38/D39</f>
        <v>406.86030501687981</v>
      </c>
    </row>
    <row r="42" spans="2:9" ht="15.75" thickTop="1" x14ac:dyDescent="0.25"/>
    <row r="43" spans="2:9" x14ac:dyDescent="0.25">
      <c r="B43" s="59" t="s">
        <v>284</v>
      </c>
      <c r="C43" s="59"/>
      <c r="D43" s="181">
        <v>4275</v>
      </c>
    </row>
    <row r="44" spans="2:9" x14ac:dyDescent="0.25">
      <c r="B44" s="88" t="s">
        <v>285</v>
      </c>
      <c r="C44" s="88"/>
      <c r="D44" s="182">
        <f>D43/D41</f>
        <v>10.507291931127661</v>
      </c>
      <c r="F44" s="202" t="s">
        <v>286</v>
      </c>
      <c r="G44" s="202"/>
      <c r="H44" s="202"/>
      <c r="I44" s="202"/>
    </row>
  </sheetData>
  <mergeCells count="5">
    <mergeCell ref="B3:H3"/>
    <mergeCell ref="B22:D22"/>
    <mergeCell ref="B30:D30"/>
    <mergeCell ref="B1:H2"/>
    <mergeCell ref="F44:I44"/>
  </mergeCells>
  <pageMargins left="0.7" right="0.7" top="0.75" bottom="0.75" header="0.3" footer="0.3"/>
  <ignoredErrors>
    <ignoredError sqref="D3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Profit &amp; Loss</vt:lpstr>
      <vt:lpstr>Quarters</vt:lpstr>
      <vt:lpstr>Balance Sheet</vt:lpstr>
      <vt:lpstr>Cash Flow</vt:lpstr>
      <vt:lpstr>Customization</vt:lpstr>
      <vt:lpstr>Data Sheet</vt:lpstr>
      <vt:lpstr>Balance sheet row data</vt:lpstr>
      <vt:lpstr>Forcasting of Sales</vt:lpstr>
      <vt:lpstr>Cashflow Row data</vt:lpstr>
      <vt:lpstr>Historical Data</vt:lpstr>
      <vt:lpstr>WACC</vt:lpstr>
      <vt:lpstr>Intresic Growth</vt:lpstr>
      <vt:lpstr>Equity valuation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Arun komple</cp:lastModifiedBy>
  <cp:lastPrinted>2026-04-26T17:23:47Z</cp:lastPrinted>
  <dcterms:created xsi:type="dcterms:W3CDTF">2012-08-17T09:55:37Z</dcterms:created>
  <dcterms:modified xsi:type="dcterms:W3CDTF">2026-04-27T13:19:32Z</dcterms:modified>
</cp:coreProperties>
</file>